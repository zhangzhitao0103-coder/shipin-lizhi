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类型总览" sheetId="1" state="visible" r:id="rId3"/>
    <sheet name="主题清单" sheetId="2" state="visible" r:id="rId4"/>
    <sheet name="说明" sheetId="3" state="visible" r:id="rId5"/>
  </sheets>
  <definedNames>
    <definedName function="false" hidden="true" localSheetId="1" name="_xlnm._FilterDatabase" vbProcedure="false">主题清单!$A$1:$N$70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<sst xmlns="http://schemas.openxmlformats.org/spreadsheetml/2006/main" count="958" uniqueCount="460">
  <si>
    <t xml:space="preserve">类型</t>
  </si>
  <si>
    <t xml:space="preserve">情绪组</t>
  </si>
  <si>
    <t xml:space="preserve">核心信念</t>
  </si>
  <si>
    <t xml:space="preserve">主要受众</t>
  </si>
  <si>
    <t xml:space="preserve">最适合的业务环节</t>
  </si>
  <si>
    <t xml:space="preserve">主题数</t>
  </si>
  <si>
    <t xml:space="preserve">已制作</t>
  </si>
  <si>
    <t xml:space="preserve">未制作</t>
  </si>
  <si>
    <r>
      <rPr>
        <sz val="10"/>
        <rFont val="Arial"/>
        <family val="0"/>
        <charset val="1"/>
      </rPr>
      <t xml:space="preserve">A </t>
    </r>
    <r>
      <rPr>
        <sz val="10"/>
        <rFont val="WenQuanYi Zen Hei"/>
        <family val="2"/>
      </rPr>
      <t xml:space="preserve">时间的力量</t>
    </r>
  </si>
  <si>
    <t xml:space="preserve">🔴 塑危组（制造紧迫感）</t>
  </si>
  <si>
    <t xml:space="preserve">时间是最公平也最无情的资源，看得见才会珍惜</t>
  </si>
  <si>
    <r>
      <rPr>
        <sz val="10"/>
        <rFont val="WenQuanYi Zen Hei"/>
        <family val="2"/>
      </rPr>
      <t xml:space="preserve">学生（高三尤甚）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家长</t>
    </r>
  </si>
  <si>
    <t xml:space="preserve">引流、节点塑危、社群早安</t>
  </si>
  <si>
    <r>
      <rPr>
        <sz val="10"/>
        <rFont val="Arial"/>
        <family val="0"/>
        <charset val="1"/>
      </rPr>
      <t xml:space="preserve">B </t>
    </r>
    <r>
      <rPr>
        <sz val="10"/>
        <rFont val="WenQuanYi Zen Hei"/>
        <family val="2"/>
      </rPr>
      <t xml:space="preserve">迈出第一步</t>
    </r>
  </si>
  <si>
    <t xml:space="preserve">🟡 激励组（给动力）</t>
  </si>
  <si>
    <t xml:space="preserve">最难的是开始，开始之后一切变轻</t>
  </si>
  <si>
    <r>
      <rPr>
        <sz val="10"/>
        <rFont val="WenQuanYi Zen Hei"/>
        <family val="2"/>
      </rPr>
      <t xml:space="preserve">学生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家长</t>
    </r>
  </si>
  <si>
    <r>
      <rPr>
        <sz val="10"/>
        <rFont val="WenQuanYi Zen Hei"/>
        <family val="2"/>
      </rPr>
      <t xml:space="preserve">截杀（预报名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开售）、异议</t>
    </r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再看看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不着急</t>
    </r>
    <r>
      <rPr>
        <sz val="10"/>
        <rFont val="Arial"/>
        <family val="0"/>
        <charset val="1"/>
      </rPr>
      <t xml:space="preserve">"</t>
    </r>
  </si>
  <si>
    <r>
      <rPr>
        <sz val="10"/>
        <rFont val="Arial"/>
        <family val="0"/>
        <charset val="1"/>
      </rPr>
      <t xml:space="preserve">C </t>
    </r>
    <r>
      <rPr>
        <sz val="10"/>
        <rFont val="WenQuanYi Zen Hei"/>
        <family val="2"/>
      </rPr>
      <t xml:space="preserve">坚持到临界点</t>
    </r>
  </si>
  <si>
    <r>
      <rPr>
        <sz val="10"/>
        <rFont val="WenQuanYi Zen Hei"/>
        <family val="2"/>
      </rPr>
      <t xml:space="preserve">质变前看起来什么都没发生，不要停在 </t>
    </r>
    <r>
      <rPr>
        <sz val="10"/>
        <rFont val="Arial"/>
        <family val="0"/>
        <charset val="1"/>
      </rPr>
      <t xml:space="preserve">99℃</t>
    </r>
  </si>
  <si>
    <t xml:space="preserve">学生</t>
  </si>
  <si>
    <r>
      <rPr>
        <sz val="10"/>
        <rFont val="WenQuanYi Zen Hei"/>
        <family val="2"/>
      </rPr>
      <t xml:space="preserve">促出勤（第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天）、续报、异议</t>
    </r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没效果</t>
    </r>
    <r>
      <rPr>
        <sz val="10"/>
        <rFont val="Arial"/>
        <family val="0"/>
        <charset val="1"/>
      </rPr>
      <t xml:space="preserve">"</t>
    </r>
  </si>
  <si>
    <r>
      <rPr>
        <sz val="10"/>
        <rFont val="Arial"/>
        <family val="0"/>
        <charset val="1"/>
      </rPr>
      <t xml:space="preserve">D </t>
    </r>
    <r>
      <rPr>
        <sz val="10"/>
        <rFont val="WenQuanYi Zen Hei"/>
        <family val="2"/>
      </rPr>
      <t xml:space="preserve">每天一点点</t>
    </r>
  </si>
  <si>
    <t xml:space="preserve">微小的差距，时间会把它放大</t>
  </si>
  <si>
    <t xml:space="preserve">社群早晚安、打卡、开营</t>
  </si>
  <si>
    <r>
      <rPr>
        <sz val="10"/>
        <rFont val="Arial"/>
        <family val="0"/>
        <charset val="1"/>
      </rPr>
      <t xml:space="preserve">E </t>
    </r>
    <r>
      <rPr>
        <sz val="10"/>
        <rFont val="WenQuanYi Zen Hei"/>
        <family val="2"/>
      </rPr>
      <t xml:space="preserve">集中力量</t>
    </r>
  </si>
  <si>
    <t xml:space="preserve">🔵 赋能组（给方法、给信心）</t>
  </si>
  <si>
    <t xml:space="preserve">分散的努力等于没努力，聚焦才能突破</t>
  </si>
  <si>
    <t xml:space="preserve">推课做减法（多科→单科、大班→小班）</t>
  </si>
  <si>
    <r>
      <rPr>
        <sz val="10"/>
        <rFont val="Arial"/>
        <family val="0"/>
        <charset val="1"/>
      </rPr>
      <t xml:space="preserve">F </t>
    </r>
    <r>
      <rPr>
        <sz val="10"/>
        <rFont val="WenQuanYi Zen Hei"/>
        <family val="2"/>
      </rPr>
      <t xml:space="preserve">方法与借力</t>
    </r>
  </si>
  <si>
    <t xml:space="preserve">方向和方法错了，越努力越远；好老师是杠杆</t>
  </si>
  <si>
    <r>
      <rPr>
        <sz val="10"/>
        <rFont val="WenQuanYi Zen Hei"/>
        <family val="2"/>
      </rPr>
      <t xml:space="preserve">家长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学生</t>
    </r>
  </si>
  <si>
    <r>
      <rPr>
        <sz val="10"/>
        <rFont val="WenQuanYi Zen Hei"/>
        <family val="2"/>
      </rPr>
      <t xml:space="preserve">推课塑造产品价值、异议</t>
    </r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自己学就行</t>
    </r>
    <r>
      <rPr>
        <sz val="10"/>
        <rFont val="Arial"/>
        <family val="0"/>
        <charset val="1"/>
      </rPr>
      <t xml:space="preserve">"</t>
    </r>
  </si>
  <si>
    <r>
      <rPr>
        <sz val="10"/>
        <rFont val="Arial"/>
        <family val="0"/>
        <charset val="1"/>
      </rPr>
      <t xml:space="preserve">G </t>
    </r>
    <r>
      <rPr>
        <sz val="10"/>
        <rFont val="WenQuanYi Zen Hei"/>
        <family val="2"/>
      </rPr>
      <t xml:space="preserve">差距与竞争</t>
    </r>
  </si>
  <si>
    <t xml:space="preserve">高考是排名，你在跑，别人也在跑</t>
  </si>
  <si>
    <t xml:space="preserve">引流塑危、推课塑危</t>
  </si>
  <si>
    <r>
      <rPr>
        <sz val="10"/>
        <rFont val="Arial"/>
        <family val="0"/>
        <charset val="1"/>
      </rPr>
      <t xml:space="preserve">H </t>
    </r>
    <r>
      <rPr>
        <sz val="10"/>
        <rFont val="WenQuanYi Zen Hei"/>
        <family val="2"/>
      </rPr>
      <t xml:space="preserve">短板决定上限</t>
    </r>
  </si>
  <si>
    <t xml:space="preserve">总分被最弱的一科拖住，补弱科性价比最高</t>
  </si>
  <si>
    <r>
      <rPr>
        <sz val="10"/>
        <rFont val="WenQuanYi Zen Hei"/>
        <family val="2"/>
      </rPr>
      <t xml:space="preserve">测评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试卷分析解读、弱科推课</t>
    </r>
  </si>
  <si>
    <r>
      <rPr>
        <sz val="10"/>
        <rFont val="Arial"/>
        <family val="0"/>
        <charset val="1"/>
      </rPr>
      <t xml:space="preserve">I </t>
    </r>
    <r>
      <rPr>
        <sz val="10"/>
        <rFont val="WenQuanYi Zen Hei"/>
        <family val="2"/>
      </rPr>
      <t xml:space="preserve">关键窗口期</t>
    </r>
  </si>
  <si>
    <t xml:space="preserve">有些时间段错过就没有了（寒暑假、高一、一轮复习）</t>
  </si>
  <si>
    <r>
      <rPr>
        <sz val="10"/>
        <rFont val="WenQuanYi Zen Hei"/>
        <family val="2"/>
      </rPr>
      <t xml:space="preserve">节点物料（考后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放假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开学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百日）</t>
    </r>
  </si>
  <si>
    <r>
      <rPr>
        <sz val="10"/>
        <rFont val="Arial"/>
        <family val="0"/>
        <charset val="1"/>
      </rPr>
      <t xml:space="preserve">J </t>
    </r>
    <r>
      <rPr>
        <sz val="10"/>
        <rFont val="WenQuanYi Zen Hei"/>
        <family val="2"/>
      </rPr>
      <t xml:space="preserve">你也可以</t>
    </r>
  </si>
  <si>
    <t xml:space="preserve">起点不决定终点，现在的低谷是蓄力</t>
  </si>
  <si>
    <r>
      <rPr>
        <sz val="10"/>
        <rFont val="WenQuanYi Zen Hei"/>
        <family val="2"/>
      </rPr>
      <t xml:space="preserve">成绩中下的学生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焦虑家长</t>
    </r>
  </si>
  <si>
    <r>
      <rPr>
        <sz val="10"/>
        <rFont val="WenQuanYi Zen Hei"/>
        <family val="2"/>
      </rPr>
      <t xml:space="preserve">异议</t>
    </r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没信心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孩子基础差</t>
    </r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、学员故事</t>
    </r>
  </si>
  <si>
    <r>
      <rPr>
        <sz val="10"/>
        <rFont val="Arial"/>
        <family val="0"/>
        <charset val="1"/>
      </rPr>
      <t xml:space="preserve">K </t>
    </r>
    <r>
      <rPr>
        <sz val="10"/>
        <rFont val="WenQuanYi Zen Hei"/>
        <family val="2"/>
      </rPr>
      <t xml:space="preserve">家长专属</t>
    </r>
  </si>
  <si>
    <t xml:space="preserve">陪伴的时间所剩不多；支持要用对方式</t>
  </si>
  <si>
    <t xml:space="preserve">家长</t>
  </si>
  <si>
    <t xml:space="preserve">家长课堂、亲子不一致异议、私域维护</t>
  </si>
  <si>
    <r>
      <rPr>
        <sz val="10"/>
        <rFont val="Arial"/>
        <family val="0"/>
        <charset val="1"/>
      </rPr>
      <t xml:space="preserve">L </t>
    </r>
    <r>
      <rPr>
        <sz val="10"/>
        <rFont val="WenQuanYi Zen Hei"/>
        <family val="2"/>
      </rPr>
      <t xml:space="preserve">心态与抗压</t>
    </r>
  </si>
  <si>
    <t xml:space="preserve">适度压力最好，稳定比冲高更重要</t>
  </si>
  <si>
    <t xml:space="preserve">学生（考前）</t>
  </si>
  <si>
    <t xml:space="preserve">考前社群、考后安抚、主讲答疑会</t>
  </si>
  <si>
    <t xml:space="preserve">合计</t>
  </si>
  <si>
    <t xml:space="preserve">完成率</t>
  </si>
  <si>
    <t xml:space="preserve">编号</t>
  </si>
  <si>
    <t xml:space="preserve">暂定标题</t>
  </si>
  <si>
    <r>
      <rPr>
        <b val="true"/>
        <sz val="11"/>
        <color rgb="FFFFFFFF"/>
        <rFont val="WenQuanYi Zen Hei"/>
        <family val="2"/>
      </rPr>
      <t xml:space="preserve">锚点（真实数据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WenQuanYi Zen Hei"/>
        <family val="2"/>
      </rPr>
      <t xml:space="preserve">计算）</t>
    </r>
  </si>
  <si>
    <t xml:space="preserve">翻转金句</t>
  </si>
  <si>
    <t xml:space="preserve">受众</t>
  </si>
  <si>
    <t xml:space="preserve">时长档</t>
  </si>
  <si>
    <t xml:space="preserve">推荐优先</t>
  </si>
  <si>
    <t xml:space="preserve">制作状态</t>
  </si>
  <si>
    <t xml:space="preserve">批次</t>
  </si>
  <si>
    <t xml:space="preserve">风格</t>
  </si>
  <si>
    <t xml:space="preserve">配音</t>
  </si>
  <si>
    <t xml:space="preserve">成片文件名</t>
  </si>
  <si>
    <t xml:space="preserve">A1</t>
  </si>
  <si>
    <r>
      <rPr>
        <sz val="10"/>
        <rFont val="WenQuanYi Zen Hei"/>
        <family val="2"/>
      </rPr>
      <t xml:space="preserve">高考还剩 </t>
    </r>
    <r>
      <rPr>
        <sz val="10"/>
        <rFont val="Arial"/>
        <family val="0"/>
        <charset val="1"/>
      </rPr>
      <t xml:space="preserve">226 </t>
    </r>
    <r>
      <rPr>
        <sz val="10"/>
        <rFont val="WenQuanYi Zen Hei"/>
        <family val="2"/>
      </rPr>
      <t xml:space="preserve">天，你真正能用的只有多少小时？</t>
    </r>
  </si>
  <si>
    <r>
      <rPr>
        <sz val="10"/>
        <rFont val="WenQuanYi Zen Hei"/>
        <family val="2"/>
      </rPr>
      <t xml:space="preserve">按今天算到 </t>
    </r>
    <r>
      <rPr>
        <sz val="10"/>
        <rFont val="Arial"/>
        <family val="0"/>
        <charset val="1"/>
      </rPr>
      <t xml:space="preserve">2027.6.7 </t>
    </r>
    <r>
      <rPr>
        <sz val="10"/>
        <rFont val="WenQuanYi Zen Hei"/>
        <family val="2"/>
      </rPr>
      <t xml:space="preserve">是 </t>
    </r>
    <r>
      <rPr>
        <sz val="10"/>
        <rFont val="Arial"/>
        <family val="0"/>
        <charset val="1"/>
      </rPr>
      <t xml:space="preserve">226 </t>
    </r>
    <r>
      <rPr>
        <sz val="10"/>
        <rFont val="WenQuanYi Zen Hei"/>
        <family val="2"/>
      </rPr>
      <t xml:space="preserve">天。依次扣掉睡觉、吃饭、上课、通勤，剩下的自主时间用</t>
    </r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时间格子</t>
    </r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一格格熄灭（日期自动按发布日更新）</t>
    </r>
  </si>
  <si>
    <t xml:space="preserve">倒计时上的数字很大，属于你的很少</t>
  </si>
  <si>
    <r>
      <rPr>
        <sz val="10"/>
        <rFont val="WenQuanYi Zen Hei"/>
        <family val="2"/>
      </rPr>
      <t xml:space="preserve">高三生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家长</t>
    </r>
  </si>
  <si>
    <r>
      <rPr>
        <sz val="10"/>
        <rFont val="Arial"/>
        <family val="0"/>
        <charset val="1"/>
      </rPr>
      <t xml:space="preserve">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30–60 </t>
    </r>
    <r>
      <rPr>
        <sz val="10"/>
        <rFont val="WenQuanYi Zen Hei"/>
        <family val="2"/>
      </rPr>
      <t xml:space="preserve">秒）</t>
    </r>
  </si>
  <si>
    <t xml:space="preserve">⭐</t>
  </si>
  <si>
    <r>
      <rPr>
        <sz val="10"/>
        <rFont val="WenQuanYi Zen Hei"/>
        <family val="2"/>
      </rPr>
      <t xml:space="preserve">第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批</t>
    </r>
  </si>
  <si>
    <t xml:space="preserve">霓虹科技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</si>
  <si>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号男声</t>
    </r>
  </si>
  <si>
    <r>
      <rPr>
        <sz val="10"/>
        <rFont val="Arial"/>
        <family val="0"/>
        <charset val="1"/>
      </rPr>
      <t xml:space="preserve">A1_</t>
    </r>
    <r>
      <rPr>
        <sz val="10"/>
        <rFont val="WenQuanYi Zen Hei"/>
        <family val="2"/>
      </rPr>
      <t xml:space="preserve">高考还剩</t>
    </r>
    <r>
      <rPr>
        <sz val="10"/>
        <rFont val="Arial"/>
        <family val="0"/>
        <charset val="1"/>
      </rPr>
      <t xml:space="preserve">226</t>
    </r>
    <r>
      <rPr>
        <sz val="10"/>
        <rFont val="WenQuanYi Zen Hei"/>
        <family val="2"/>
      </rPr>
      <t xml:space="preserve">天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无配音</t>
    </r>
    <r>
      <rPr>
        <sz val="10"/>
        <rFont val="Arial"/>
        <family val="0"/>
        <charset val="1"/>
      </rPr>
      <t xml:space="preserve">.mp4 / _AI</t>
    </r>
    <r>
      <rPr>
        <sz val="10"/>
        <rFont val="WenQuanYi Zen Hei"/>
        <family val="2"/>
      </rPr>
      <t xml:space="preserve">配音</t>
    </r>
    <r>
      <rPr>
        <sz val="10"/>
        <rFont val="Arial"/>
        <family val="0"/>
        <charset val="1"/>
      </rPr>
      <t xml:space="preserve">.mp4</t>
    </r>
  </si>
  <si>
    <t xml:space="preserve">A2</t>
  </si>
  <si>
    <r>
      <rPr>
        <sz val="10"/>
        <rFont val="WenQuanYi Zen Hei"/>
        <family val="2"/>
      </rPr>
      <t xml:space="preserve">你的高中，只有 </t>
    </r>
    <r>
      <rPr>
        <sz val="10"/>
        <rFont val="Arial"/>
        <family val="0"/>
        <charset val="1"/>
      </rPr>
      <t xml:space="preserve">156 </t>
    </r>
    <r>
      <rPr>
        <sz val="10"/>
        <rFont val="WenQuanYi Zen Hei"/>
        <family val="2"/>
      </rPr>
      <t xml:space="preserve">个格子</t>
    </r>
  </si>
  <si>
    <r>
      <rPr>
        <sz val="10"/>
        <rFont val="WenQuanYi Zen Hei"/>
        <family val="2"/>
      </rPr>
      <t xml:space="preserve">人生 </t>
    </r>
    <r>
      <rPr>
        <sz val="10"/>
        <rFont val="Arial"/>
        <family val="0"/>
        <charset val="1"/>
      </rPr>
      <t xml:space="preserve">80 </t>
    </r>
    <r>
      <rPr>
        <sz val="10"/>
        <rFont val="WenQuanYi Zen Hei"/>
        <family val="2"/>
      </rPr>
      <t xml:space="preserve">年 </t>
    </r>
    <r>
      <rPr>
        <sz val="10"/>
        <rFont val="Arial"/>
        <family val="0"/>
        <charset val="1"/>
      </rPr>
      <t xml:space="preserve">= 4,160 </t>
    </r>
    <r>
      <rPr>
        <sz val="10"/>
        <rFont val="WenQuanYi Zen Hei"/>
        <family val="2"/>
      </rPr>
      <t xml:space="preserve">周，一周画一格；高中 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年 </t>
    </r>
    <r>
      <rPr>
        <sz val="10"/>
        <rFont val="Arial"/>
        <family val="0"/>
        <charset val="1"/>
      </rPr>
      <t xml:space="preserve">= 156 </t>
    </r>
    <r>
      <rPr>
        <sz val="10"/>
        <rFont val="WenQuanYi Zen Hei"/>
        <family val="2"/>
      </rPr>
      <t xml:space="preserve">格，只占 </t>
    </r>
    <r>
      <rPr>
        <sz val="10"/>
        <rFont val="Arial"/>
        <family val="0"/>
        <charset val="1"/>
      </rPr>
      <t xml:space="preserve">3.75%</t>
    </r>
    <r>
      <rPr>
        <sz val="10"/>
        <rFont val="WenQuanYi Zen Hei"/>
        <family val="2"/>
      </rPr>
      <t xml:space="preserve">；已经过去的格子变暗</t>
    </r>
  </si>
  <si>
    <t xml:space="preserve">每过一周，就有一格再也点不亮</t>
  </si>
  <si>
    <r>
      <rPr>
        <sz val="10"/>
        <rFont val="WenQuanYi Zen Hei"/>
        <family val="2"/>
      </rPr>
      <t xml:space="preserve">学生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家长</t>
    </r>
  </si>
  <si>
    <r>
      <rPr>
        <sz val="10"/>
        <rFont val="Arial"/>
        <family val="0"/>
        <charset val="1"/>
      </rPr>
      <t xml:space="preserve">S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15–30 </t>
    </r>
    <r>
      <rPr>
        <sz val="10"/>
        <rFont val="WenQuanYi Zen Hei"/>
        <family val="2"/>
      </rPr>
      <t xml:space="preserve">秒）</t>
    </r>
  </si>
  <si>
    <r>
      <rPr>
        <sz val="10"/>
        <rFont val="WenQuanYi Zen Hei"/>
        <family val="2"/>
      </rPr>
      <t xml:space="preserve">第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批</t>
    </r>
  </si>
  <si>
    <t xml:space="preserve">暗金电影</t>
  </si>
  <si>
    <r>
      <rPr>
        <sz val="10"/>
        <rFont val="Arial"/>
        <family val="0"/>
        <charset val="1"/>
      </rPr>
      <t xml:space="preserve">A2_</t>
    </r>
    <r>
      <rPr>
        <sz val="10"/>
        <rFont val="WenQuanYi Zen Hei"/>
        <family val="2"/>
      </rPr>
      <t xml:space="preserve">你的高中只有</t>
    </r>
    <r>
      <rPr>
        <sz val="10"/>
        <rFont val="Arial"/>
        <family val="0"/>
        <charset val="1"/>
      </rPr>
      <t xml:space="preserve">156</t>
    </r>
    <r>
      <rPr>
        <sz val="10"/>
        <rFont val="WenQuanYi Zen Hei"/>
        <family val="2"/>
      </rPr>
      <t xml:space="preserve">个格子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无配音</t>
    </r>
    <r>
      <rPr>
        <sz val="10"/>
        <rFont val="Arial"/>
        <family val="0"/>
        <charset val="1"/>
      </rPr>
      <t xml:space="preserve">.mp4 / _AI</t>
    </r>
    <r>
      <rPr>
        <sz val="10"/>
        <rFont val="WenQuanYi Zen Hei"/>
        <family val="2"/>
      </rPr>
      <t xml:space="preserve">配音</t>
    </r>
    <r>
      <rPr>
        <sz val="10"/>
        <rFont val="Arial"/>
        <family val="0"/>
        <charset val="1"/>
      </rPr>
      <t xml:space="preserve">.mp4</t>
    </r>
  </si>
  <si>
    <t xml:space="preserve">A3</t>
  </si>
  <si>
    <r>
      <rPr>
        <sz val="10"/>
        <rFont val="WenQuanYi Zen Hei"/>
        <family val="2"/>
      </rPr>
      <t xml:space="preserve">每天 </t>
    </r>
    <r>
      <rPr>
        <sz val="10"/>
        <rFont val="Arial"/>
        <family val="0"/>
        <charset val="1"/>
      </rPr>
      <t xml:space="preserve">30 </t>
    </r>
    <r>
      <rPr>
        <sz val="10"/>
        <rFont val="WenQuanYi Zen Hei"/>
        <family val="2"/>
      </rPr>
      <t xml:space="preserve">分钟，三年是多少？</t>
    </r>
  </si>
  <si>
    <r>
      <rPr>
        <sz val="10"/>
        <rFont val="Arial"/>
        <family val="0"/>
        <charset val="1"/>
      </rPr>
      <t xml:space="preserve">30 </t>
    </r>
    <r>
      <rPr>
        <sz val="10"/>
        <rFont val="WenQuanYi Zen Hei"/>
        <family val="2"/>
      </rPr>
      <t xml:space="preserve">分钟 </t>
    </r>
    <r>
      <rPr>
        <sz val="10"/>
        <rFont val="Arial"/>
        <family val="0"/>
        <charset val="1"/>
      </rPr>
      <t xml:space="preserve">× 1,095 </t>
    </r>
    <r>
      <rPr>
        <sz val="10"/>
        <rFont val="WenQuanYi Zen Hei"/>
        <family val="2"/>
      </rPr>
      <t xml:space="preserve">天 </t>
    </r>
    <r>
      <rPr>
        <sz val="10"/>
        <rFont val="Arial"/>
        <family val="0"/>
        <charset val="1"/>
      </rPr>
      <t xml:space="preserve">= 547.5 </t>
    </r>
    <r>
      <rPr>
        <sz val="10"/>
        <rFont val="WenQuanYi Zen Hei"/>
        <family val="2"/>
      </rPr>
      <t xml:space="preserve">小时 ≈ </t>
    </r>
    <r>
      <rPr>
        <sz val="10"/>
        <rFont val="Arial"/>
        <family val="0"/>
        <charset val="1"/>
      </rPr>
      <t xml:space="preserve">22.8 </t>
    </r>
    <r>
      <rPr>
        <sz val="10"/>
        <rFont val="WenQuanYi Zen Hei"/>
        <family val="2"/>
      </rPr>
      <t xml:space="preserve">天不吃不睡</t>
    </r>
  </si>
  <si>
    <t xml:space="preserve">时间不是没有，是碎掉了</t>
  </si>
  <si>
    <t xml:space="preserve">A4</t>
  </si>
  <si>
    <r>
      <rPr>
        <sz val="10"/>
        <rFont val="WenQuanYi Zen Hei"/>
        <family val="2"/>
      </rPr>
      <t xml:space="preserve">如果每天刷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小时手机</t>
    </r>
  </si>
  <si>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小时 </t>
    </r>
    <r>
      <rPr>
        <sz val="10"/>
        <rFont val="Arial"/>
        <family val="0"/>
        <charset val="1"/>
      </rPr>
      <t xml:space="preserve">× 365 = 730 </t>
    </r>
    <r>
      <rPr>
        <sz val="10"/>
        <rFont val="WenQuanYi Zen Hei"/>
        <family val="2"/>
      </rPr>
      <t xml:space="preserve">小时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年；</t>
    </r>
    <r>
      <rPr>
        <sz val="10"/>
        <rFont val="Arial"/>
        <family val="0"/>
        <charset val="1"/>
      </rPr>
      <t xml:space="preserve">× 1,095 </t>
    </r>
    <r>
      <rPr>
        <sz val="10"/>
        <rFont val="WenQuanYi Zen Hei"/>
        <family val="2"/>
      </rPr>
      <t xml:space="preserve">天 </t>
    </r>
    <r>
      <rPr>
        <sz val="10"/>
        <rFont val="Arial"/>
        <family val="0"/>
        <charset val="1"/>
      </rPr>
      <t xml:space="preserve">= 2,190 </t>
    </r>
    <r>
      <rPr>
        <sz val="10"/>
        <rFont val="WenQuanYi Zen Hei"/>
        <family val="2"/>
      </rPr>
      <t xml:space="preserve">小时 ≈ </t>
    </r>
    <r>
      <rPr>
        <sz val="10"/>
        <rFont val="Arial"/>
        <family val="0"/>
        <charset val="1"/>
      </rPr>
      <t xml:space="preserve">91 </t>
    </r>
    <r>
      <rPr>
        <sz val="10"/>
        <rFont val="WenQuanYi Zen Hei"/>
        <family val="2"/>
      </rPr>
      <t xml:space="preserve">天，比三个寒假（约 </t>
    </r>
    <r>
      <rPr>
        <sz val="10"/>
        <rFont val="Arial"/>
        <family val="0"/>
        <charset val="1"/>
      </rPr>
      <t xml:space="preserve">30 </t>
    </r>
    <r>
      <rPr>
        <sz val="10"/>
        <rFont val="WenQuanYi Zen Hei"/>
        <family val="2"/>
      </rPr>
      <t xml:space="preserve">天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个）还多；每天少刷 </t>
    </r>
    <r>
      <rPr>
        <sz val="10"/>
        <rFont val="Arial"/>
        <family val="0"/>
        <charset val="1"/>
      </rPr>
      <t xml:space="preserve">30 </t>
    </r>
    <r>
      <rPr>
        <sz val="10"/>
        <rFont val="WenQuanYi Zen Hei"/>
        <family val="2"/>
      </rPr>
      <t xml:space="preserve">分钟，三年多出 </t>
    </r>
    <r>
      <rPr>
        <sz val="10"/>
        <rFont val="Arial"/>
        <family val="0"/>
        <charset val="1"/>
      </rPr>
      <t xml:space="preserve">547 </t>
    </r>
    <r>
      <rPr>
        <sz val="10"/>
        <rFont val="WenQuanYi Zen Hei"/>
        <family val="2"/>
      </rPr>
      <t xml:space="preserve">小时</t>
    </r>
  </si>
  <si>
    <t xml:space="preserve">手机不会偷走你的时间，是你亲手交出去的</t>
  </si>
  <si>
    <r>
      <rPr>
        <sz val="10"/>
        <rFont val="WenQuanYi Zen Hei"/>
        <family val="2"/>
      </rPr>
      <t xml:space="preserve">第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批</t>
    </r>
  </si>
  <si>
    <t xml:space="preserve">玻璃拟态</t>
  </si>
  <si>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号女声</t>
    </r>
  </si>
  <si>
    <r>
      <rPr>
        <sz val="10"/>
        <rFont val="Arial"/>
        <family val="0"/>
        <charset val="1"/>
      </rPr>
      <t xml:space="preserve">A4_</t>
    </r>
    <r>
      <rPr>
        <sz val="10"/>
        <rFont val="WenQuanYi Zen Hei"/>
        <family val="2"/>
      </rPr>
      <t xml:space="preserve">每天刷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小时手机三年是多少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无配音</t>
    </r>
    <r>
      <rPr>
        <sz val="10"/>
        <rFont val="Arial"/>
        <family val="0"/>
        <charset val="1"/>
      </rPr>
      <t xml:space="preserve">.mp4 / _AI</t>
    </r>
    <r>
      <rPr>
        <sz val="10"/>
        <rFont val="WenQuanYi Zen Hei"/>
        <family val="2"/>
      </rPr>
      <t xml:space="preserve">配音</t>
    </r>
    <r>
      <rPr>
        <sz val="10"/>
        <rFont val="Arial"/>
        <family val="0"/>
        <charset val="1"/>
      </rPr>
      <t xml:space="preserve">.mp4</t>
    </r>
  </si>
  <si>
    <t xml:space="preserve">A5</t>
  </si>
  <si>
    <t xml:space="preserve">高三还剩多少个周末？</t>
  </si>
  <si>
    <r>
      <rPr>
        <sz val="10"/>
        <rFont val="WenQuanYi Zen Hei"/>
        <family val="2"/>
      </rPr>
      <t xml:space="preserve">日历计算：从 </t>
    </r>
    <r>
      <rPr>
        <sz val="10"/>
        <rFont val="Arial"/>
        <family val="0"/>
        <charset val="1"/>
      </rPr>
      <t xml:space="preserve">2026-10-31</t>
    </r>
    <r>
      <rPr>
        <sz val="10"/>
        <rFont val="WenQuanYi Zen Hei"/>
        <family val="2"/>
      </rPr>
      <t xml:space="preserve">（周六）到 </t>
    </r>
    <r>
      <rPr>
        <sz val="10"/>
        <rFont val="Arial"/>
        <family val="0"/>
        <charset val="1"/>
      </rPr>
      <t xml:space="preserve">2027-06-07 </t>
    </r>
    <r>
      <rPr>
        <sz val="10"/>
        <rFont val="WenQuanYi Zen Hei"/>
        <family val="2"/>
      </rPr>
      <t xml:space="preserve">高考前共 </t>
    </r>
    <r>
      <rPr>
        <sz val="10"/>
        <rFont val="Arial"/>
        <family val="0"/>
        <charset val="1"/>
      </rPr>
      <t xml:space="preserve">32 </t>
    </r>
    <r>
      <rPr>
        <sz val="10"/>
        <rFont val="WenQuanYi Zen Hei"/>
        <family val="2"/>
      </rPr>
      <t xml:space="preserve">个周末；其中含春节（</t>
    </r>
    <r>
      <rPr>
        <sz val="10"/>
        <rFont val="Arial"/>
        <family val="0"/>
        <charset val="1"/>
      </rPr>
      <t xml:space="preserve">2/6</t>
    </r>
    <r>
      <rPr>
        <sz val="10"/>
        <rFont val="WenQuanYi Zen Hei"/>
        <family val="2"/>
      </rPr>
      <t xml:space="preserve">）、百日倒计时（</t>
    </r>
    <r>
      <rPr>
        <sz val="10"/>
        <rFont val="Arial"/>
        <family val="0"/>
        <charset val="1"/>
      </rPr>
      <t xml:space="preserve">2/27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</si>
  <si>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不是还有很久，是只剩 </t>
    </r>
    <r>
      <rPr>
        <sz val="10"/>
        <rFont val="Arial"/>
        <family val="0"/>
        <charset val="1"/>
      </rPr>
      <t xml:space="preserve">32 </t>
    </r>
    <r>
      <rPr>
        <sz val="10"/>
        <rFont val="WenQuanYi Zen Hei"/>
        <family val="2"/>
      </rPr>
      <t xml:space="preserve">次</t>
    </r>
  </si>
  <si>
    <t xml:space="preserve">高三生</t>
  </si>
  <si>
    <t xml:space="preserve">杂志排版</t>
  </si>
  <si>
    <r>
      <rPr>
        <sz val="10"/>
        <rFont val="Arial"/>
        <family val="0"/>
        <charset val="1"/>
      </rPr>
      <t xml:space="preserve">A5_</t>
    </r>
    <r>
      <rPr>
        <sz val="10"/>
        <rFont val="WenQuanYi Zen Hei"/>
        <family val="2"/>
      </rPr>
      <t xml:space="preserve">高三还剩多少个周末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无配音</t>
    </r>
    <r>
      <rPr>
        <sz val="10"/>
        <rFont val="Arial"/>
        <family val="0"/>
        <charset val="1"/>
      </rPr>
      <t xml:space="preserve">.mp4 / _AI</t>
    </r>
    <r>
      <rPr>
        <sz val="10"/>
        <rFont val="WenQuanYi Zen Hei"/>
        <family val="2"/>
      </rPr>
      <t xml:space="preserve">配音</t>
    </r>
    <r>
      <rPr>
        <sz val="10"/>
        <rFont val="Arial"/>
        <family val="0"/>
        <charset val="1"/>
      </rPr>
      <t xml:space="preserve">.mp4</t>
    </r>
  </si>
  <si>
    <t xml:space="preserve">A6</t>
  </si>
  <si>
    <t xml:space="preserve">时间是唯一不能充值的东西</t>
  </si>
  <si>
    <r>
      <rPr>
        <sz val="10"/>
        <rFont val="WenQuanYi Zen Hei"/>
        <family val="2"/>
      </rPr>
      <t xml:space="preserve">时间沙漏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金钱进度条：钱可以挣回来，时间格子只能熄灭（熵增，不可逆）</t>
    </r>
  </si>
  <si>
    <t xml:space="preserve">你可以重考一次试，不能重过一年</t>
  </si>
  <si>
    <t xml:space="preserve">B1</t>
  </si>
  <si>
    <r>
      <rPr>
        <sz val="10"/>
        <rFont val="WenQuanYi Zen Hei"/>
        <family val="2"/>
      </rPr>
      <t xml:space="preserve">为什么</t>
    </r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开始</t>
    </r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最难？物理早就告诉你了</t>
    </r>
  </si>
  <si>
    <r>
      <rPr>
        <sz val="10"/>
        <rFont val="WenQuanYi Zen Hei"/>
        <family val="2"/>
      </rPr>
      <t xml:space="preserve">最大静摩擦力 </t>
    </r>
    <r>
      <rPr>
        <sz val="10"/>
        <rFont val="Arial"/>
        <family val="0"/>
        <charset val="1"/>
      </rPr>
      <t xml:space="preserve">&gt; </t>
    </r>
    <r>
      <rPr>
        <sz val="10"/>
        <rFont val="WenQuanYi Zen Hei"/>
        <family val="2"/>
      </rPr>
      <t xml:space="preserve">滑动摩擦力：推动静止的箱子要更大的力，一旦动起来反而省力（受力分析动画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力的数值对比）</t>
    </r>
  </si>
  <si>
    <t xml:space="preserve">最费力的永远是第一下</t>
  </si>
  <si>
    <r>
      <rPr>
        <sz val="10"/>
        <rFont val="WenQuanYi Zen Hei"/>
        <family val="2"/>
      </rPr>
      <t xml:space="preserve">第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批</t>
    </r>
  </si>
  <si>
    <t xml:space="preserve">蓝图工程</t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</si>
  <si>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号男声</t>
    </r>
  </si>
  <si>
    <r>
      <rPr>
        <sz val="10"/>
        <rFont val="Arial"/>
        <family val="0"/>
        <charset val="1"/>
      </rPr>
      <t xml:space="preserve">B1_</t>
    </r>
    <r>
      <rPr>
        <sz val="10"/>
        <rFont val="WenQuanYi Zen Hei"/>
        <family val="2"/>
      </rPr>
      <t xml:space="preserve">寒假第一天就停下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无配音</t>
    </r>
    <r>
      <rPr>
        <sz val="10"/>
        <rFont val="Arial"/>
        <family val="0"/>
        <charset val="1"/>
      </rPr>
      <t xml:space="preserve">.mp4 / _AI</t>
    </r>
    <r>
      <rPr>
        <sz val="10"/>
        <rFont val="WenQuanYi Zen Hei"/>
        <family val="2"/>
      </rPr>
      <t xml:space="preserve">配音</t>
    </r>
    <r>
      <rPr>
        <sz val="10"/>
        <rFont val="Arial"/>
        <family val="0"/>
        <charset val="1"/>
      </rPr>
      <t xml:space="preserve">.mp4</t>
    </r>
  </si>
  <si>
    <t xml:space="preserve">B2</t>
  </si>
  <si>
    <r>
      <rPr>
        <sz val="10"/>
        <rFont val="WenQuanYi Zen Hei"/>
        <family val="2"/>
      </rPr>
      <t xml:space="preserve">晚 </t>
    </r>
    <r>
      <rPr>
        <sz val="10"/>
        <rFont val="Arial"/>
        <family val="0"/>
        <charset val="1"/>
      </rPr>
      <t xml:space="preserve">30 </t>
    </r>
    <r>
      <rPr>
        <sz val="10"/>
        <rFont val="WenQuanYi Zen Hei"/>
        <family val="2"/>
      </rPr>
      <t xml:space="preserve">天开始，差距永远追不回来</t>
    </r>
  </si>
  <si>
    <r>
      <rPr>
        <sz val="10"/>
        <rFont val="WenQuanYi Zen Hei"/>
        <family val="2"/>
      </rPr>
      <t xml:space="preserve">两人同样每天进步 </t>
    </r>
    <r>
      <rPr>
        <sz val="10"/>
        <rFont val="Arial"/>
        <family val="0"/>
        <charset val="1"/>
      </rPr>
      <t xml:space="preserve">1%</t>
    </r>
    <r>
      <rPr>
        <sz val="10"/>
        <rFont val="WenQuanYi Zen Hei"/>
        <family val="2"/>
      </rPr>
      <t xml:space="preserve">，一个晚 </t>
    </r>
    <r>
      <rPr>
        <sz val="10"/>
        <rFont val="Arial"/>
        <family val="0"/>
        <charset val="1"/>
      </rPr>
      <t xml:space="preserve">30 </t>
    </r>
    <r>
      <rPr>
        <sz val="10"/>
        <rFont val="WenQuanYi Zen Hei"/>
        <family val="2"/>
      </rPr>
      <t xml:space="preserve">天开始：</t>
    </r>
    <r>
      <rPr>
        <sz val="10"/>
        <rFont val="Arial"/>
        <family val="0"/>
        <charset val="1"/>
      </rPr>
      <t xml:space="preserve">1.01³⁰ = 1.348</t>
    </r>
    <r>
      <rPr>
        <sz val="10"/>
        <rFont val="WenQuanYi Zen Hei"/>
        <family val="2"/>
      </rPr>
      <t xml:space="preserve">，比例差永远 </t>
    </r>
    <r>
      <rPr>
        <sz val="10"/>
        <rFont val="Arial"/>
        <family val="0"/>
        <charset val="1"/>
      </rPr>
      <t xml:space="preserve">34.8%</t>
    </r>
    <r>
      <rPr>
        <sz val="10"/>
        <rFont val="WenQuanYi Zen Hei"/>
        <family val="2"/>
      </rPr>
      <t xml:space="preserve">，绝对差越拉越大</t>
    </r>
  </si>
  <si>
    <t xml:space="preserve">不是谁更努力，是谁先开始</t>
  </si>
  <si>
    <t xml:space="preserve">信息图</t>
  </si>
  <si>
    <r>
      <rPr>
        <sz val="10"/>
        <rFont val="Arial"/>
        <family val="0"/>
        <charset val="1"/>
      </rPr>
      <t xml:space="preserve">B2_</t>
    </r>
    <r>
      <rPr>
        <sz val="10"/>
        <rFont val="WenQuanYi Zen Hei"/>
        <family val="2"/>
      </rPr>
      <t xml:space="preserve">晚</t>
    </r>
    <r>
      <rPr>
        <sz val="10"/>
        <rFont val="Arial"/>
        <family val="0"/>
        <charset val="1"/>
      </rPr>
      <t xml:space="preserve">30</t>
    </r>
    <r>
      <rPr>
        <sz val="10"/>
        <rFont val="WenQuanYi Zen Hei"/>
        <family val="2"/>
      </rPr>
      <t xml:space="preserve">天开始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无配音</t>
    </r>
    <r>
      <rPr>
        <sz val="10"/>
        <rFont val="Arial"/>
        <family val="0"/>
        <charset val="1"/>
      </rPr>
      <t xml:space="preserve">.mp4 / _AI</t>
    </r>
    <r>
      <rPr>
        <sz val="10"/>
        <rFont val="WenQuanYi Zen Hei"/>
        <family val="2"/>
      </rPr>
      <t xml:space="preserve">配音</t>
    </r>
    <r>
      <rPr>
        <sz val="10"/>
        <rFont val="Arial"/>
        <family val="0"/>
        <charset val="1"/>
      </rPr>
      <t xml:space="preserve">.mp4</t>
    </r>
  </si>
  <si>
    <t xml:space="preserve">B3</t>
  </si>
  <si>
    <t xml:space="preserve">一块骨牌，推倒一座大楼</t>
  </si>
  <si>
    <r>
      <rPr>
        <sz val="10"/>
        <rFont val="Arial"/>
        <family val="0"/>
        <charset val="1"/>
      </rPr>
      <t xml:space="preserve">Whitehead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1983</t>
    </r>
    <r>
      <rPr>
        <sz val="10"/>
        <rFont val="WenQuanYi Zen Hei"/>
        <family val="2"/>
      </rPr>
      <t xml:space="preserve">）：一块骨牌能推倒约大 </t>
    </r>
    <r>
      <rPr>
        <sz val="10"/>
        <rFont val="Arial"/>
        <family val="0"/>
        <charset val="1"/>
      </rPr>
      <t xml:space="preserve">1.5 </t>
    </r>
    <r>
      <rPr>
        <sz val="10"/>
        <rFont val="WenQuanYi Zen Hei"/>
        <family val="2"/>
      </rPr>
      <t xml:space="preserve">倍的骨牌；</t>
    </r>
    <r>
      <rPr>
        <sz val="10"/>
        <rFont val="Arial"/>
        <family val="0"/>
        <charset val="1"/>
      </rPr>
      <t xml:space="preserve">5 mm × 1.5^n</t>
    </r>
    <r>
      <rPr>
        <sz val="10"/>
        <rFont val="WenQuanYi Zen Hei"/>
        <family val="2"/>
      </rPr>
      <t xml:space="preserve">：第 </t>
    </r>
    <r>
      <rPr>
        <sz val="10"/>
        <rFont val="Arial"/>
        <family val="0"/>
        <charset val="1"/>
      </rPr>
      <t xml:space="preserve">10 </t>
    </r>
    <r>
      <rPr>
        <sz val="10"/>
        <rFont val="WenQuanYi Zen Hei"/>
        <family val="2"/>
      </rPr>
      <t xml:space="preserve">块 </t>
    </r>
    <r>
      <rPr>
        <sz val="10"/>
        <rFont val="Arial"/>
        <family val="0"/>
        <charset val="1"/>
      </rPr>
      <t xml:space="preserve">19 cm</t>
    </r>
    <r>
      <rPr>
        <sz val="10"/>
        <rFont val="WenQuanYi Zen Hei"/>
        <family val="2"/>
      </rPr>
      <t xml:space="preserve">，第 </t>
    </r>
    <r>
      <rPr>
        <sz val="10"/>
        <rFont val="Arial"/>
        <family val="0"/>
        <charset val="1"/>
      </rPr>
      <t xml:space="preserve">20 </t>
    </r>
    <r>
      <rPr>
        <sz val="10"/>
        <rFont val="WenQuanYi Zen Hei"/>
        <family val="2"/>
      </rPr>
      <t xml:space="preserve">块 </t>
    </r>
    <r>
      <rPr>
        <sz val="10"/>
        <rFont val="Arial"/>
        <family val="0"/>
        <charset val="1"/>
      </rPr>
      <t xml:space="preserve">11 m</t>
    </r>
    <r>
      <rPr>
        <sz val="10"/>
        <rFont val="WenQuanYi Zen Hei"/>
        <family val="2"/>
      </rPr>
      <t xml:space="preserve">，第 </t>
    </r>
    <r>
      <rPr>
        <sz val="10"/>
        <rFont val="Arial"/>
        <family val="0"/>
        <charset val="1"/>
      </rPr>
      <t xml:space="preserve">30 </t>
    </r>
    <r>
      <rPr>
        <sz val="10"/>
        <rFont val="WenQuanYi Zen Hei"/>
        <family val="2"/>
      </rPr>
      <t xml:space="preserve">块 </t>
    </r>
    <r>
      <rPr>
        <sz val="10"/>
        <rFont val="Arial"/>
        <family val="0"/>
        <charset val="1"/>
      </rPr>
      <t xml:space="preserve">639 m</t>
    </r>
    <r>
      <rPr>
        <sz val="10"/>
        <rFont val="WenQuanYi Zen Hei"/>
        <family val="2"/>
      </rPr>
      <t xml:space="preserve">（上海中心 </t>
    </r>
    <r>
      <rPr>
        <sz val="10"/>
        <rFont val="Arial"/>
        <family val="0"/>
        <charset val="1"/>
      </rPr>
      <t xml:space="preserve">632 m</t>
    </r>
    <r>
      <rPr>
        <sz val="10"/>
        <rFont val="WenQuanYi Zen Hei"/>
        <family val="2"/>
      </rPr>
      <t xml:space="preserve">）</t>
    </r>
  </si>
  <si>
    <t xml:space="preserve">第一块很小，但必须有人推</t>
  </si>
  <si>
    <t xml:space="preserve">包豪斯几何</t>
  </si>
  <si>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号男声</t>
    </r>
  </si>
  <si>
    <r>
      <rPr>
        <sz val="10"/>
        <rFont val="Arial"/>
        <family val="0"/>
        <charset val="1"/>
      </rPr>
      <t xml:space="preserve">B3_</t>
    </r>
    <r>
      <rPr>
        <sz val="10"/>
        <rFont val="WenQuanYi Zen Hei"/>
        <family val="2"/>
      </rPr>
      <t xml:space="preserve">一块骨牌推倒一座大楼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无配音</t>
    </r>
    <r>
      <rPr>
        <sz val="10"/>
        <rFont val="Arial"/>
        <family val="0"/>
        <charset val="1"/>
      </rPr>
      <t xml:space="preserve">.mp4 / _AI</t>
    </r>
    <r>
      <rPr>
        <sz val="10"/>
        <rFont val="WenQuanYi Zen Hei"/>
        <family val="2"/>
      </rPr>
      <t xml:space="preserve">配音</t>
    </r>
    <r>
      <rPr>
        <sz val="10"/>
        <rFont val="Arial"/>
        <family val="0"/>
        <charset val="1"/>
      </rPr>
      <t xml:space="preserve">.mp4</t>
    </r>
  </si>
  <si>
    <t xml:space="preserve">B4</t>
  </si>
  <si>
    <r>
      <rPr>
        <sz val="10"/>
        <rFont val="WenQuanYi Zen Hei"/>
        <family val="2"/>
      </rPr>
      <t xml:space="preserve">化学反应为什么需要</t>
    </r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点火</t>
    </r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？</t>
    </r>
  </si>
  <si>
    <t xml:space="preserve">氢气与氧气常温几乎不反应、点燃爆鸣；能量—反应进程曲线：先越过活化能；催化剂降低能垒，不改变反应前后能量差</t>
  </si>
  <si>
    <t xml:space="preserve">开始总有一道坎，好方法就是你的催化剂</t>
  </si>
  <si>
    <t xml:space="preserve">黑板粉笔</t>
  </si>
  <si>
    <r>
      <rPr>
        <sz val="10"/>
        <rFont val="Arial"/>
        <family val="0"/>
        <charset val="1"/>
      </rPr>
      <t xml:space="preserve">B4_</t>
    </r>
    <r>
      <rPr>
        <sz val="10"/>
        <rFont val="WenQuanYi Zen Hei"/>
        <family val="2"/>
      </rPr>
      <t xml:space="preserve">化学反应为什么需要点火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无配音</t>
    </r>
    <r>
      <rPr>
        <sz val="10"/>
        <rFont val="Arial"/>
        <family val="0"/>
        <charset val="1"/>
      </rPr>
      <t xml:space="preserve">.mp4 / _AI</t>
    </r>
    <r>
      <rPr>
        <sz val="10"/>
        <rFont val="WenQuanYi Zen Hei"/>
        <family val="2"/>
      </rPr>
      <t xml:space="preserve">配音</t>
    </r>
    <r>
      <rPr>
        <sz val="10"/>
        <rFont val="Arial"/>
        <family val="0"/>
        <charset val="1"/>
      </rPr>
      <t xml:space="preserve">.mp4</t>
    </r>
  </si>
  <si>
    <t xml:space="preserve">B5</t>
  </si>
  <si>
    <t xml:space="preserve">惯性：不动的东西，会一直不动</t>
  </si>
  <si>
    <t xml:space="preserve">牛顿第一定律：没有外力，静止的物体保持静止</t>
  </si>
  <si>
    <r>
      <rPr>
        <sz val="10"/>
        <rFont val="WenQuanYi Zen Hei"/>
        <family val="2"/>
      </rPr>
      <t xml:space="preserve">等</t>
    </r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想学的时候再学</t>
    </r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，那一天不会自己来</t>
    </r>
  </si>
  <si>
    <t xml:space="preserve">B6</t>
  </si>
  <si>
    <r>
      <rPr>
        <sz val="10"/>
        <rFont val="Arial"/>
        <family val="0"/>
        <charset val="1"/>
      </rPr>
      <t xml:space="preserve">0 </t>
    </r>
    <r>
      <rPr>
        <sz val="10"/>
        <rFont val="WenQuanYi Zen Hei"/>
        <family val="2"/>
      </rPr>
      <t xml:space="preserve">乘以任何数，都是 </t>
    </r>
    <r>
      <rPr>
        <sz val="10"/>
        <rFont val="Arial"/>
        <family val="0"/>
        <charset val="1"/>
      </rPr>
      <t xml:space="preserve">0</t>
    </r>
  </si>
  <si>
    <r>
      <rPr>
        <sz val="10"/>
        <rFont val="WenQuanYi Zen Hei"/>
        <family val="2"/>
      </rPr>
      <t xml:space="preserve">计划 </t>
    </r>
    <r>
      <rPr>
        <sz val="10"/>
        <rFont val="Arial"/>
        <family val="0"/>
        <charset val="1"/>
      </rPr>
      <t xml:space="preserve">100 </t>
    </r>
    <r>
      <rPr>
        <sz val="10"/>
        <rFont val="WenQuanYi Zen Hei"/>
        <family val="2"/>
      </rPr>
      <t xml:space="preserve">分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行动 </t>
    </r>
    <r>
      <rPr>
        <sz val="10"/>
        <rFont val="Arial"/>
        <family val="0"/>
        <charset val="1"/>
      </rPr>
      <t xml:space="preserve">0 = 0</t>
    </r>
    <r>
      <rPr>
        <sz val="10"/>
        <rFont val="WenQuanYi Zen Hei"/>
        <family val="2"/>
      </rPr>
      <t xml:space="preserve">；计划 </t>
    </r>
    <r>
      <rPr>
        <sz val="10"/>
        <rFont val="Arial"/>
        <family val="0"/>
        <charset val="1"/>
      </rPr>
      <t xml:space="preserve">60 </t>
    </r>
    <r>
      <rPr>
        <sz val="10"/>
        <rFont val="WenQuanYi Zen Hei"/>
        <family val="2"/>
      </rPr>
      <t xml:space="preserve">分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行动 </t>
    </r>
    <r>
      <rPr>
        <sz val="10"/>
        <rFont val="Arial"/>
        <family val="0"/>
        <charset val="1"/>
      </rPr>
      <t xml:space="preserve">1 = 60</t>
    </r>
  </si>
  <si>
    <t xml:space="preserve">不完美的开始，好过完美的等待</t>
  </si>
  <si>
    <t xml:space="preserve">C1</t>
  </si>
  <si>
    <r>
      <rPr>
        <sz val="10"/>
        <rFont val="Arial"/>
        <family val="0"/>
        <charset val="1"/>
      </rPr>
      <t xml:space="preserve">99℃ </t>
    </r>
    <r>
      <rPr>
        <sz val="10"/>
        <rFont val="WenQuanYi Zen Hei"/>
        <family val="2"/>
      </rPr>
      <t xml:space="preserve">和 </t>
    </r>
    <r>
      <rPr>
        <sz val="10"/>
        <rFont val="Arial"/>
        <family val="0"/>
        <charset val="1"/>
      </rPr>
      <t xml:space="preserve">100℃</t>
    </r>
  </si>
  <si>
    <r>
      <rPr>
        <sz val="10"/>
        <rFont val="WenQuanYi Zen Hei"/>
        <family val="2"/>
      </rPr>
      <t xml:space="preserve">水从 </t>
    </r>
    <r>
      <rPr>
        <sz val="10"/>
        <rFont val="Arial"/>
        <family val="0"/>
        <charset val="1"/>
      </rPr>
      <t xml:space="preserve">0℃ </t>
    </r>
    <r>
      <rPr>
        <sz val="10"/>
        <rFont val="WenQuanYi Zen Hei"/>
        <family val="2"/>
      </rPr>
      <t xml:space="preserve">烧到 </t>
    </r>
    <r>
      <rPr>
        <sz val="10"/>
        <rFont val="Arial"/>
        <family val="0"/>
        <charset val="1"/>
      </rPr>
      <t xml:space="preserve">100℃ </t>
    </r>
    <r>
      <rPr>
        <sz val="10"/>
        <rFont val="WenQuanYi Zen Hei"/>
        <family val="2"/>
      </rPr>
      <t xml:space="preserve">要 </t>
    </r>
    <r>
      <rPr>
        <sz val="10"/>
        <rFont val="Arial"/>
        <family val="0"/>
        <charset val="1"/>
      </rPr>
      <t xml:space="preserve">418 J/g</t>
    </r>
    <r>
      <rPr>
        <sz val="10"/>
        <rFont val="WenQuanYi Zen Hei"/>
        <family val="2"/>
      </rPr>
      <t xml:space="preserve">，变成蒸汽还要 </t>
    </r>
    <r>
      <rPr>
        <sz val="10"/>
        <rFont val="Arial"/>
        <family val="0"/>
        <charset val="1"/>
      </rPr>
      <t xml:space="preserve">2,257 J/g</t>
    </r>
    <r>
      <rPr>
        <sz val="10"/>
        <rFont val="WenQuanYi Zen Hei"/>
        <family val="2"/>
      </rPr>
      <t xml:space="preserve">，是之前全部加热的 </t>
    </r>
    <r>
      <rPr>
        <sz val="10"/>
        <rFont val="Arial"/>
        <family val="0"/>
        <charset val="1"/>
      </rPr>
      <t xml:space="preserve">5.4 </t>
    </r>
    <r>
      <rPr>
        <sz val="10"/>
        <rFont val="WenQuanYi Zen Hei"/>
        <family val="2"/>
      </rPr>
      <t xml:space="preserve">倍；温度计却一直停在 </t>
    </r>
    <r>
      <rPr>
        <sz val="10"/>
        <rFont val="Arial"/>
        <family val="0"/>
        <charset val="1"/>
      </rPr>
      <t xml:space="preserve">100℃</t>
    </r>
  </si>
  <si>
    <t xml:space="preserve">最后一步，需要的力气最多，也最看不见</t>
  </si>
  <si>
    <r>
      <rPr>
        <sz val="10"/>
        <rFont val="Arial"/>
        <family val="0"/>
        <charset val="1"/>
      </rPr>
      <t xml:space="preserve">C1_99℃</t>
    </r>
    <r>
      <rPr>
        <sz val="10"/>
        <rFont val="WenQuanYi Zen Hei"/>
        <family val="2"/>
      </rPr>
      <t xml:space="preserve">和</t>
    </r>
    <r>
      <rPr>
        <sz val="10"/>
        <rFont val="Arial"/>
        <family val="0"/>
        <charset val="1"/>
      </rPr>
      <t xml:space="preserve">100℃_</t>
    </r>
    <r>
      <rPr>
        <sz val="10"/>
        <rFont val="WenQuanYi Zen Hei"/>
        <family val="2"/>
      </rPr>
      <t xml:space="preserve">无配音</t>
    </r>
    <r>
      <rPr>
        <sz val="10"/>
        <rFont val="Arial"/>
        <family val="0"/>
        <charset val="1"/>
      </rPr>
      <t xml:space="preserve">.mp4 / _AI</t>
    </r>
    <r>
      <rPr>
        <sz val="10"/>
        <rFont val="WenQuanYi Zen Hei"/>
        <family val="2"/>
      </rPr>
      <t xml:space="preserve">配音</t>
    </r>
    <r>
      <rPr>
        <sz val="10"/>
        <rFont val="Arial"/>
        <family val="0"/>
        <charset val="1"/>
      </rPr>
      <t xml:space="preserve">.mp4</t>
    </r>
  </si>
  <si>
    <t xml:space="preserve">C2</t>
  </si>
  <si>
    <t xml:space="preserve">成绩不涨，不代表你没进步</t>
  </si>
  <si>
    <r>
      <rPr>
        <sz val="10"/>
        <rFont val="WenQuanYi Zen Hei"/>
        <family val="2"/>
      </rPr>
      <t xml:space="preserve">冰在 </t>
    </r>
    <r>
      <rPr>
        <sz val="10"/>
        <rFont val="Arial"/>
        <family val="0"/>
        <charset val="1"/>
      </rPr>
      <t xml:space="preserve">0℃ </t>
    </r>
    <r>
      <rPr>
        <sz val="10"/>
        <rFont val="WenQuanYi Zen Hei"/>
        <family val="2"/>
      </rPr>
      <t xml:space="preserve">持续吸热、温度不变（熔化热 </t>
    </r>
    <r>
      <rPr>
        <sz val="10"/>
        <rFont val="Arial"/>
        <family val="0"/>
        <charset val="1"/>
      </rPr>
      <t xml:space="preserve">334 J/g</t>
    </r>
    <r>
      <rPr>
        <sz val="10"/>
        <rFont val="WenQuanYi Zen Hei"/>
        <family val="2"/>
      </rPr>
      <t xml:space="preserve">，相当于从 </t>
    </r>
    <r>
      <rPr>
        <sz val="10"/>
        <rFont val="Arial"/>
        <family val="0"/>
        <charset val="1"/>
      </rPr>
      <t xml:space="preserve">-10℃ </t>
    </r>
    <r>
      <rPr>
        <sz val="10"/>
        <rFont val="WenQuanYi Zen Hei"/>
        <family val="2"/>
      </rPr>
      <t xml:space="preserve">升到 </t>
    </r>
    <r>
      <rPr>
        <sz val="10"/>
        <rFont val="Arial"/>
        <family val="0"/>
        <charset val="1"/>
      </rPr>
      <t xml:space="preserve">0℃ </t>
    </r>
    <r>
      <rPr>
        <sz val="10"/>
        <rFont val="WenQuanYi Zen Hei"/>
        <family val="2"/>
      </rPr>
      <t xml:space="preserve">所需热量的 </t>
    </r>
    <r>
      <rPr>
        <sz val="10"/>
        <rFont val="Arial"/>
        <family val="0"/>
        <charset val="1"/>
      </rPr>
      <t xml:space="preserve">16 </t>
    </r>
    <r>
      <rPr>
        <sz val="10"/>
        <rFont val="WenQuanYi Zen Hei"/>
        <family val="2"/>
      </rPr>
      <t xml:space="preserve">倍），能量全部用在质变上</t>
    </r>
  </si>
  <si>
    <t xml:space="preserve">平台期不是停滞，是正在融化</t>
  </si>
  <si>
    <t xml:space="preserve">学生（中等生）</t>
  </si>
  <si>
    <t xml:space="preserve">冷蓝电影</t>
  </si>
  <si>
    <r>
      <rPr>
        <sz val="10"/>
        <rFont val="Arial"/>
        <family val="0"/>
        <charset val="1"/>
      </rPr>
      <t xml:space="preserve">C2_</t>
    </r>
    <r>
      <rPr>
        <sz val="10"/>
        <rFont val="WenQuanYi Zen Hei"/>
        <family val="2"/>
      </rPr>
      <t xml:space="preserve">成绩不涨不代表你没进步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无配音</t>
    </r>
    <r>
      <rPr>
        <sz val="10"/>
        <rFont val="Arial"/>
        <family val="0"/>
        <charset val="1"/>
      </rPr>
      <t xml:space="preserve">.mp4 / _AI</t>
    </r>
    <r>
      <rPr>
        <sz val="10"/>
        <rFont val="WenQuanYi Zen Hei"/>
        <family val="2"/>
      </rPr>
      <t xml:space="preserve">配音</t>
    </r>
    <r>
      <rPr>
        <sz val="10"/>
        <rFont val="Arial"/>
        <family val="0"/>
        <charset val="1"/>
      </rPr>
      <t xml:space="preserve">.mp4</t>
    </r>
  </si>
  <si>
    <t xml:space="preserve">C3</t>
  </si>
  <si>
    <r>
      <rPr>
        <sz val="10"/>
        <rFont val="WenQuanYi Zen Hei"/>
        <family val="2"/>
      </rPr>
      <t xml:space="preserve">荷叶第 </t>
    </r>
    <r>
      <rPr>
        <sz val="10"/>
        <rFont val="Arial"/>
        <family val="0"/>
        <charset val="1"/>
      </rPr>
      <t xml:space="preserve">29 </t>
    </r>
    <r>
      <rPr>
        <sz val="10"/>
        <rFont val="WenQuanYi Zen Hei"/>
        <family val="2"/>
      </rPr>
      <t xml:space="preserve">天，只铺满一半</t>
    </r>
  </si>
  <si>
    <r>
      <rPr>
        <sz val="10"/>
        <rFont val="WenQuanYi Zen Hei"/>
        <family val="2"/>
      </rPr>
      <t xml:space="preserve">荷叶每天翻倍、</t>
    </r>
    <r>
      <rPr>
        <sz val="10"/>
        <rFont val="Arial"/>
        <family val="0"/>
        <charset val="1"/>
      </rPr>
      <t xml:space="preserve">30 </t>
    </r>
    <r>
      <rPr>
        <sz val="10"/>
        <rFont val="WenQuanYi Zen Hei"/>
        <family val="2"/>
      </rPr>
      <t xml:space="preserve">天铺满池塘：第 </t>
    </r>
    <r>
      <rPr>
        <sz val="10"/>
        <rFont val="Arial"/>
        <family val="0"/>
        <charset val="1"/>
      </rPr>
      <t xml:space="preserve">29 </t>
    </r>
    <r>
      <rPr>
        <sz val="10"/>
        <rFont val="WenQuanYi Zen Hei"/>
        <family val="2"/>
      </rPr>
      <t xml:space="preserve">天是 </t>
    </r>
    <r>
      <rPr>
        <sz val="10"/>
        <rFont val="Arial"/>
        <family val="0"/>
        <charset val="1"/>
      </rPr>
      <t xml:space="preserve">50%</t>
    </r>
    <r>
      <rPr>
        <sz val="10"/>
        <rFont val="WenQuanYi Zen Hei"/>
        <family val="2"/>
      </rPr>
      <t xml:space="preserve">，第 </t>
    </r>
    <r>
      <rPr>
        <sz val="10"/>
        <rFont val="Arial"/>
        <family val="0"/>
        <charset val="1"/>
      </rPr>
      <t xml:space="preserve">25 </t>
    </r>
    <r>
      <rPr>
        <sz val="10"/>
        <rFont val="WenQuanYi Zen Hei"/>
        <family val="2"/>
      </rPr>
      <t xml:space="preserve">天只有 </t>
    </r>
    <r>
      <rPr>
        <sz val="10"/>
        <rFont val="Arial"/>
        <family val="0"/>
        <charset val="1"/>
      </rPr>
      <t xml:space="preserve">3.1%</t>
    </r>
  </si>
  <si>
    <r>
      <rPr>
        <sz val="10"/>
        <rFont val="WenQuanYi Zen Hei"/>
        <family val="2"/>
      </rPr>
      <t xml:space="preserve">大多数人，放弃在第 </t>
    </r>
    <r>
      <rPr>
        <sz val="10"/>
        <rFont val="Arial"/>
        <family val="0"/>
        <charset val="1"/>
      </rPr>
      <t xml:space="preserve">25 </t>
    </r>
    <r>
      <rPr>
        <sz val="10"/>
        <rFont val="WenQuanYi Zen Hei"/>
        <family val="2"/>
      </rPr>
      <t xml:space="preserve">天</t>
    </r>
  </si>
  <si>
    <t xml:space="preserve">新中式水墨</t>
  </si>
  <si>
    <r>
      <rPr>
        <sz val="10"/>
        <rFont val="Arial"/>
        <family val="0"/>
        <charset val="1"/>
      </rPr>
      <t xml:space="preserve">C3_</t>
    </r>
    <r>
      <rPr>
        <sz val="10"/>
        <rFont val="WenQuanYi Zen Hei"/>
        <family val="2"/>
      </rPr>
      <t xml:space="preserve">荷叶第</t>
    </r>
    <r>
      <rPr>
        <sz val="10"/>
        <rFont val="Arial"/>
        <family val="0"/>
        <charset val="1"/>
      </rPr>
      <t xml:space="preserve">29</t>
    </r>
    <r>
      <rPr>
        <sz val="10"/>
        <rFont val="WenQuanYi Zen Hei"/>
        <family val="2"/>
      </rPr>
      <t xml:space="preserve">天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无配音</t>
    </r>
    <r>
      <rPr>
        <sz val="10"/>
        <rFont val="Arial"/>
        <family val="0"/>
        <charset val="1"/>
      </rPr>
      <t xml:space="preserve">.mp4 / _AI</t>
    </r>
    <r>
      <rPr>
        <sz val="10"/>
        <rFont val="WenQuanYi Zen Hei"/>
        <family val="2"/>
      </rPr>
      <t xml:space="preserve">配音</t>
    </r>
    <r>
      <rPr>
        <sz val="10"/>
        <rFont val="Arial"/>
        <family val="0"/>
        <charset val="1"/>
      </rPr>
      <t xml:space="preserve">.mp4</t>
    </r>
  </si>
  <si>
    <t xml:space="preserve">C4</t>
  </si>
  <si>
    <t xml:space="preserve">差一点，就飞不出地球</t>
  </si>
  <si>
    <r>
      <rPr>
        <sz val="10"/>
        <rFont val="WenQuanYi Zen Hei"/>
        <family val="2"/>
      </rPr>
      <t xml:space="preserve">第一宇宙速度 </t>
    </r>
    <r>
      <rPr>
        <sz val="10"/>
        <rFont val="Arial"/>
        <family val="0"/>
        <charset val="1"/>
      </rPr>
      <t xml:space="preserve">7.9 km/s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7.8 km/s </t>
    </r>
    <r>
      <rPr>
        <sz val="10"/>
        <rFont val="WenQuanYi Zen Hei"/>
        <family val="2"/>
      </rPr>
      <t xml:space="preserve">会落回地面，</t>
    </r>
    <r>
      <rPr>
        <sz val="10"/>
        <rFont val="Arial"/>
        <family val="0"/>
        <charset val="1"/>
      </rPr>
      <t xml:space="preserve">7.9 km/s </t>
    </r>
    <r>
      <rPr>
        <sz val="10"/>
        <rFont val="WenQuanYi Zen Hei"/>
        <family val="2"/>
      </rPr>
      <t xml:space="preserve">就能绕地飞行（轨道模拟）</t>
    </r>
  </si>
  <si>
    <t xml:space="preserve">差一点点和做到了，是两个世界</t>
  </si>
  <si>
    <r>
      <rPr>
        <sz val="10"/>
        <rFont val="WenQuanYi Zen Hei"/>
        <family val="2"/>
      </rPr>
      <t xml:space="preserve">第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批</t>
    </r>
  </si>
  <si>
    <t xml:space="preserve">深空</t>
  </si>
  <si>
    <r>
      <rPr>
        <sz val="10"/>
        <rFont val="Arial"/>
        <family val="0"/>
        <charset val="1"/>
      </rPr>
      <t xml:space="preserve">C4_</t>
    </r>
    <r>
      <rPr>
        <sz val="10"/>
        <rFont val="WenQuanYi Zen Hei"/>
        <family val="2"/>
      </rPr>
      <t xml:space="preserve">差一点就飞不出地球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无配音</t>
    </r>
    <r>
      <rPr>
        <sz val="10"/>
        <rFont val="Arial"/>
        <family val="0"/>
        <charset val="1"/>
      </rPr>
      <t xml:space="preserve">.mp4 / _AI</t>
    </r>
    <r>
      <rPr>
        <sz val="10"/>
        <rFont val="WenQuanYi Zen Hei"/>
        <family val="2"/>
      </rPr>
      <t xml:space="preserve">配音</t>
    </r>
    <r>
      <rPr>
        <sz val="10"/>
        <rFont val="Arial"/>
        <family val="0"/>
        <charset val="1"/>
      </rPr>
      <t xml:space="preserve">.mp4</t>
    </r>
  </si>
  <si>
    <t xml:space="preserve">C5</t>
  </si>
  <si>
    <r>
      <rPr>
        <sz val="10"/>
        <rFont val="WenQuanYi Zen Hei"/>
        <family val="2"/>
      </rPr>
      <t xml:space="preserve">养成一个习惯，不是 </t>
    </r>
    <r>
      <rPr>
        <sz val="10"/>
        <rFont val="Arial"/>
        <family val="0"/>
        <charset val="1"/>
      </rPr>
      <t xml:space="preserve">21 </t>
    </r>
    <r>
      <rPr>
        <sz val="10"/>
        <rFont val="WenQuanYi Zen Hei"/>
        <family val="2"/>
      </rPr>
      <t xml:space="preserve">天</t>
    </r>
  </si>
  <si>
    <r>
      <rPr>
        <sz val="10"/>
        <rFont val="Arial"/>
        <family val="0"/>
        <charset val="1"/>
      </rPr>
      <t xml:space="preserve">Lally </t>
    </r>
    <r>
      <rPr>
        <sz val="10"/>
        <rFont val="WenQuanYi Zen Hei"/>
        <family val="2"/>
      </rPr>
      <t xml:space="preserve">等（</t>
    </r>
    <r>
      <rPr>
        <sz val="10"/>
        <rFont val="Arial"/>
        <family val="0"/>
        <charset val="1"/>
      </rPr>
      <t xml:space="preserve">2010</t>
    </r>
    <r>
      <rPr>
        <sz val="10"/>
        <rFont val="WenQuanYi Zen Hei"/>
        <family val="2"/>
      </rPr>
      <t xml:space="preserve">）研究：平均 </t>
    </r>
    <r>
      <rPr>
        <sz val="10"/>
        <rFont val="Arial"/>
        <family val="0"/>
        <charset val="1"/>
      </rPr>
      <t xml:space="preserve">66 </t>
    </r>
    <r>
      <rPr>
        <sz val="10"/>
        <rFont val="WenQuanYi Zen Hei"/>
        <family val="2"/>
      </rPr>
      <t xml:space="preserve">天，范围 </t>
    </r>
    <r>
      <rPr>
        <sz val="10"/>
        <rFont val="Arial"/>
        <family val="0"/>
        <charset val="1"/>
      </rPr>
      <t xml:space="preserve">18–254 </t>
    </r>
    <r>
      <rPr>
        <sz val="10"/>
        <rFont val="WenQuanYi Zen Hei"/>
        <family val="2"/>
      </rPr>
      <t xml:space="preserve">天（曲线逐渐趋平）</t>
    </r>
  </si>
  <si>
    <r>
      <rPr>
        <sz val="10"/>
        <rFont val="WenQuanYi Zen Hei"/>
        <family val="2"/>
      </rPr>
      <t xml:space="preserve">第 </t>
    </r>
    <r>
      <rPr>
        <sz val="10"/>
        <rFont val="Arial"/>
        <family val="0"/>
        <charset val="1"/>
      </rPr>
      <t xml:space="preserve">21 </t>
    </r>
    <r>
      <rPr>
        <sz val="10"/>
        <rFont val="WenQuanYi Zen Hei"/>
        <family val="2"/>
      </rPr>
      <t xml:space="preserve">天觉得难很正常，你只是还没到</t>
    </r>
  </si>
  <si>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号女声</t>
    </r>
  </si>
  <si>
    <r>
      <rPr>
        <sz val="10"/>
        <rFont val="Arial"/>
        <family val="0"/>
        <charset val="1"/>
      </rPr>
      <t xml:space="preserve">C5_</t>
    </r>
    <r>
      <rPr>
        <sz val="10"/>
        <rFont val="WenQuanYi Zen Hei"/>
        <family val="2"/>
      </rPr>
      <t xml:space="preserve">养成一个习惯要多少天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无配音</t>
    </r>
    <r>
      <rPr>
        <sz val="10"/>
        <rFont val="Arial"/>
        <family val="0"/>
        <charset val="1"/>
      </rPr>
      <t xml:space="preserve">.mp4 / _AI</t>
    </r>
    <r>
      <rPr>
        <sz val="10"/>
        <rFont val="WenQuanYi Zen Hei"/>
        <family val="2"/>
      </rPr>
      <t xml:space="preserve">配音</t>
    </r>
    <r>
      <rPr>
        <sz val="10"/>
        <rFont val="Arial"/>
        <family val="0"/>
        <charset val="1"/>
      </rPr>
      <t xml:space="preserve">.mp4</t>
    </r>
  </si>
  <si>
    <t xml:space="preserve">C6</t>
  </si>
  <si>
    <r>
      <rPr>
        <sz val="10"/>
        <rFont val="WenQuanYi Zen Hei"/>
        <family val="2"/>
      </rPr>
      <t xml:space="preserve">学霸也在</t>
    </r>
    <r>
      <rPr>
        <sz val="10"/>
        <rFont val="Arial"/>
        <family val="0"/>
        <charset val="1"/>
      </rPr>
      <t xml:space="preserve">"58%"</t>
    </r>
    <r>
      <rPr>
        <sz val="10"/>
        <rFont val="WenQuanYi Zen Hei"/>
        <family val="2"/>
      </rPr>
      <t xml:space="preserve">停留过</t>
    </r>
  </si>
  <si>
    <r>
      <rPr>
        <sz val="10"/>
        <rFont val="WenQuanYi Zen Hei"/>
        <family val="2"/>
      </rPr>
      <t xml:space="preserve">渗流临界点 </t>
    </r>
    <r>
      <rPr>
        <sz val="10"/>
        <rFont val="Arial"/>
        <family val="0"/>
        <charset val="1"/>
      </rPr>
      <t xml:space="preserve">59.27%</t>
    </r>
    <r>
      <rPr>
        <sz val="10"/>
        <rFont val="WenQuanYi Zen Hei"/>
        <family val="2"/>
      </rPr>
      <t xml:space="preserve">（参考 </t>
    </r>
    <r>
      <rPr>
        <sz val="10"/>
        <rFont val="Arial"/>
        <family val="0"/>
        <charset val="1"/>
      </rPr>
      <t xml:space="preserve">A </t>
    </r>
    <r>
      <rPr>
        <sz val="10"/>
        <rFont val="WenQuanYi Zen Hei"/>
        <family val="2"/>
      </rPr>
      <t xml:space="preserve">的改编版，把</t>
    </r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单词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琴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稿子</t>
    </r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换成</t>
    </r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错题本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单词本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数学大题</t>
    </r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</si>
  <si>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在 </t>
    </r>
    <r>
      <rPr>
        <sz val="10"/>
        <rFont val="Arial"/>
        <family val="0"/>
        <charset val="1"/>
      </rPr>
      <t xml:space="preserve">58% </t>
    </r>
    <r>
      <rPr>
        <sz val="10"/>
        <rFont val="WenQuanYi Zen Hei"/>
        <family val="2"/>
      </rPr>
      <t xml:space="preserve">的时候，别走</t>
    </r>
  </si>
  <si>
    <r>
      <rPr>
        <sz val="10"/>
        <rFont val="Arial"/>
        <family val="0"/>
        <charset val="1"/>
      </rPr>
      <t xml:space="preserve">L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60–120 </t>
    </r>
    <r>
      <rPr>
        <sz val="10"/>
        <rFont val="WenQuanYi Zen Hei"/>
        <family val="2"/>
      </rPr>
      <t xml:space="preserve">秒）</t>
    </r>
  </si>
  <si>
    <t xml:space="preserve">D1</t>
  </si>
  <si>
    <r>
      <rPr>
        <sz val="10"/>
        <rFont val="Arial"/>
        <family val="0"/>
        <charset val="1"/>
      </rPr>
      <t xml:space="preserve">1.01 </t>
    </r>
    <r>
      <rPr>
        <sz val="10"/>
        <rFont val="WenQuanYi Zen Hei"/>
        <family val="2"/>
      </rPr>
      <t xml:space="preserve">和 </t>
    </r>
    <r>
      <rPr>
        <sz val="10"/>
        <rFont val="Arial"/>
        <family val="0"/>
        <charset val="1"/>
      </rPr>
      <t xml:space="preserve">0.99</t>
    </r>
  </si>
  <si>
    <r>
      <rPr>
        <sz val="10"/>
        <rFont val="Arial"/>
        <family val="0"/>
        <charset val="1"/>
      </rPr>
      <t xml:space="preserve">1.01³⁶⁵ = 37.8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0.99³⁶⁵ = 0.026</t>
    </r>
    <r>
      <rPr>
        <sz val="10"/>
        <rFont val="WenQuanYi Zen Hei"/>
        <family val="2"/>
      </rPr>
      <t xml:space="preserve">，两条曲线分叉动画</t>
    </r>
  </si>
  <si>
    <r>
      <rPr>
        <sz val="10"/>
        <rFont val="WenQuanYi Zen Hei"/>
        <family val="2"/>
      </rPr>
      <t xml:space="preserve">每天只差一点点，一年后差近 </t>
    </r>
    <r>
      <rPr>
        <sz val="10"/>
        <rFont val="Arial"/>
        <family val="0"/>
        <charset val="1"/>
      </rPr>
      <t xml:space="preserve">1,500 </t>
    </r>
    <r>
      <rPr>
        <sz val="10"/>
        <rFont val="WenQuanYi Zen Hei"/>
        <family val="2"/>
      </rPr>
      <t xml:space="preserve">倍</t>
    </r>
  </si>
  <si>
    <t xml:space="preserve">极简白</t>
  </si>
  <si>
    <r>
      <rPr>
        <sz val="10"/>
        <rFont val="Arial"/>
        <family val="0"/>
        <charset val="1"/>
      </rPr>
      <t xml:space="preserve">D1_1.01</t>
    </r>
    <r>
      <rPr>
        <sz val="10"/>
        <rFont val="WenQuanYi Zen Hei"/>
        <family val="2"/>
      </rPr>
      <t xml:space="preserve">和</t>
    </r>
    <r>
      <rPr>
        <sz val="10"/>
        <rFont val="Arial"/>
        <family val="0"/>
        <charset val="1"/>
      </rPr>
      <t xml:space="preserve">0.99_</t>
    </r>
    <r>
      <rPr>
        <sz val="10"/>
        <rFont val="WenQuanYi Zen Hei"/>
        <family val="2"/>
      </rPr>
      <t xml:space="preserve">无配音</t>
    </r>
    <r>
      <rPr>
        <sz val="10"/>
        <rFont val="Arial"/>
        <family val="0"/>
        <charset val="1"/>
      </rPr>
      <t xml:space="preserve">.mp4 / _AI</t>
    </r>
    <r>
      <rPr>
        <sz val="10"/>
        <rFont val="WenQuanYi Zen Hei"/>
        <family val="2"/>
      </rPr>
      <t xml:space="preserve">配音</t>
    </r>
    <r>
      <rPr>
        <sz val="10"/>
        <rFont val="Arial"/>
        <family val="0"/>
        <charset val="1"/>
      </rPr>
      <t xml:space="preserve">.mp4</t>
    </r>
  </si>
  <si>
    <t xml:space="preserve">D2</t>
  </si>
  <si>
    <r>
      <rPr>
        <sz val="10"/>
        <rFont val="WenQuanYi Zen Hei"/>
        <family val="2"/>
      </rPr>
      <t xml:space="preserve">把纸对折 </t>
    </r>
    <r>
      <rPr>
        <sz val="10"/>
        <rFont val="Arial"/>
        <family val="0"/>
        <charset val="1"/>
      </rPr>
      <t xml:space="preserve">42 </t>
    </r>
    <r>
      <rPr>
        <sz val="10"/>
        <rFont val="WenQuanYi Zen Hei"/>
        <family val="2"/>
      </rPr>
      <t xml:space="preserve">次</t>
    </r>
  </si>
  <si>
    <r>
      <rPr>
        <sz val="10"/>
        <rFont val="Arial"/>
        <family val="0"/>
        <charset val="1"/>
      </rPr>
      <t xml:space="preserve">0.1mm × 2⁴² ≈ 44 </t>
    </r>
    <r>
      <rPr>
        <sz val="10"/>
        <rFont val="WenQuanYi Zen Hei"/>
        <family val="2"/>
      </rPr>
      <t xml:space="preserve">万公里，超过地月距离 </t>
    </r>
    <r>
      <rPr>
        <sz val="10"/>
        <rFont val="Arial"/>
        <family val="0"/>
        <charset val="1"/>
      </rPr>
      <t xml:space="preserve">38.4 </t>
    </r>
    <r>
      <rPr>
        <sz val="10"/>
        <rFont val="WenQuanYi Zen Hei"/>
        <family val="2"/>
      </rPr>
      <t xml:space="preserve">万公里</t>
    </r>
  </si>
  <si>
    <t xml:space="preserve">每一次都只是翻倍，最后一次到了月球</t>
  </si>
  <si>
    <t xml:space="preserve">纸雕</t>
  </si>
  <si>
    <r>
      <rPr>
        <sz val="10"/>
        <rFont val="Arial"/>
        <family val="0"/>
        <charset val="1"/>
      </rPr>
      <t xml:space="preserve">D2_</t>
    </r>
    <r>
      <rPr>
        <sz val="10"/>
        <rFont val="WenQuanYi Zen Hei"/>
        <family val="2"/>
      </rPr>
      <t xml:space="preserve">把纸对折</t>
    </r>
    <r>
      <rPr>
        <sz val="10"/>
        <rFont val="Arial"/>
        <family val="0"/>
        <charset val="1"/>
      </rPr>
      <t xml:space="preserve">42</t>
    </r>
    <r>
      <rPr>
        <sz val="10"/>
        <rFont val="WenQuanYi Zen Hei"/>
        <family val="2"/>
      </rPr>
      <t xml:space="preserve">次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无配音</t>
    </r>
    <r>
      <rPr>
        <sz val="10"/>
        <rFont val="Arial"/>
        <family val="0"/>
        <charset val="1"/>
      </rPr>
      <t xml:space="preserve">.mp4 / _AI</t>
    </r>
    <r>
      <rPr>
        <sz val="10"/>
        <rFont val="WenQuanYi Zen Hei"/>
        <family val="2"/>
      </rPr>
      <t xml:space="preserve">配音</t>
    </r>
    <r>
      <rPr>
        <sz val="10"/>
        <rFont val="Arial"/>
        <family val="0"/>
        <charset val="1"/>
      </rPr>
      <t xml:space="preserve">.mp4</t>
    </r>
  </si>
  <si>
    <t xml:space="preserve">D3</t>
  </si>
  <si>
    <r>
      <rPr>
        <sz val="10"/>
        <rFont val="WenQuanYi Zen Hei"/>
        <family val="2"/>
      </rPr>
      <t xml:space="preserve">高考 </t>
    </r>
    <r>
      <rPr>
        <sz val="10"/>
        <rFont val="Arial"/>
        <family val="0"/>
        <charset val="1"/>
      </rPr>
      <t xml:space="preserve">3000 </t>
    </r>
    <r>
      <rPr>
        <sz val="10"/>
        <rFont val="WenQuanYi Zen Hei"/>
        <family val="2"/>
      </rPr>
      <t xml:space="preserve">个单词，其实只要一年</t>
    </r>
  </si>
  <si>
    <r>
      <rPr>
        <sz val="10"/>
        <rFont val="WenQuanYi Zen Hei"/>
        <family val="2"/>
      </rPr>
      <t xml:space="preserve">课标要求约 </t>
    </r>
    <r>
      <rPr>
        <sz val="10"/>
        <rFont val="Arial"/>
        <family val="0"/>
        <charset val="1"/>
      </rPr>
      <t xml:space="preserve">3,000 </t>
    </r>
    <r>
      <rPr>
        <sz val="10"/>
        <rFont val="WenQuanYi Zen Hei"/>
        <family val="2"/>
      </rPr>
      <t xml:space="preserve">词；每天 </t>
    </r>
    <r>
      <rPr>
        <sz val="10"/>
        <rFont val="Arial"/>
        <family val="0"/>
        <charset val="1"/>
      </rPr>
      <t xml:space="preserve">10 </t>
    </r>
    <r>
      <rPr>
        <sz val="10"/>
        <rFont val="WenQuanYi Zen Hei"/>
        <family val="2"/>
      </rPr>
      <t xml:space="preserve">个，</t>
    </r>
    <r>
      <rPr>
        <sz val="10"/>
        <rFont val="Arial"/>
        <family val="0"/>
        <charset val="1"/>
      </rPr>
      <t xml:space="preserve">300 </t>
    </r>
    <r>
      <rPr>
        <sz val="10"/>
        <rFont val="WenQuanYi Zen Hei"/>
        <family val="2"/>
      </rPr>
      <t xml:space="preserve">天背完（日历格子逐日点亮）</t>
    </r>
  </si>
  <si>
    <r>
      <rPr>
        <sz val="10"/>
        <rFont val="WenQuanYi Zen Hei"/>
        <family val="2"/>
      </rPr>
      <t xml:space="preserve">难的不是 </t>
    </r>
    <r>
      <rPr>
        <sz val="10"/>
        <rFont val="Arial"/>
        <family val="0"/>
        <charset val="1"/>
      </rPr>
      <t xml:space="preserve">3000</t>
    </r>
    <r>
      <rPr>
        <sz val="10"/>
        <rFont val="WenQuanYi Zen Hei"/>
        <family val="2"/>
      </rPr>
      <t xml:space="preserve">，是每天的 </t>
    </r>
    <r>
      <rPr>
        <sz val="10"/>
        <rFont val="Arial"/>
        <family val="0"/>
        <charset val="1"/>
      </rPr>
      <t xml:space="preserve">10 </t>
    </r>
    <r>
      <rPr>
        <sz val="10"/>
        <rFont val="WenQuanYi Zen Hei"/>
        <family val="2"/>
      </rPr>
      <t xml:space="preserve">个</t>
    </r>
  </si>
  <si>
    <t xml:space="preserve">手账笔记</t>
  </si>
  <si>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号女声</t>
    </r>
  </si>
  <si>
    <r>
      <rPr>
        <sz val="10"/>
        <rFont val="Arial"/>
        <family val="0"/>
        <charset val="1"/>
      </rPr>
      <t xml:space="preserve">D3_3000</t>
    </r>
    <r>
      <rPr>
        <sz val="10"/>
        <rFont val="WenQuanYi Zen Hei"/>
        <family val="2"/>
      </rPr>
      <t xml:space="preserve">个单词其实只要一年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无配音</t>
    </r>
    <r>
      <rPr>
        <sz val="10"/>
        <rFont val="Arial"/>
        <family val="0"/>
        <charset val="1"/>
      </rPr>
      <t xml:space="preserve">.mp4 / _AI</t>
    </r>
    <r>
      <rPr>
        <sz val="10"/>
        <rFont val="WenQuanYi Zen Hei"/>
        <family val="2"/>
      </rPr>
      <t xml:space="preserve">配音</t>
    </r>
    <r>
      <rPr>
        <sz val="10"/>
        <rFont val="Arial"/>
        <family val="0"/>
        <charset val="1"/>
      </rPr>
      <t xml:space="preserve">.mp4</t>
    </r>
  </si>
  <si>
    <t xml:space="preserve">D4</t>
  </si>
  <si>
    <t xml:space="preserve">每天多做一道题</t>
  </si>
  <si>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道 </t>
    </r>
    <r>
      <rPr>
        <sz val="10"/>
        <rFont val="Arial"/>
        <family val="0"/>
        <charset val="1"/>
      </rPr>
      <t xml:space="preserve">× 1,095 </t>
    </r>
    <r>
      <rPr>
        <sz val="10"/>
        <rFont val="WenQuanYi Zen Hei"/>
        <family val="2"/>
      </rPr>
      <t xml:space="preserve">天 </t>
    </r>
    <r>
      <rPr>
        <sz val="10"/>
        <rFont val="Arial"/>
        <family val="0"/>
        <charset val="1"/>
      </rPr>
      <t xml:space="preserve">= 1,095 </t>
    </r>
    <r>
      <rPr>
        <sz val="10"/>
        <rFont val="WenQuanYi Zen Hei"/>
        <family val="2"/>
      </rPr>
      <t xml:space="preserve">道 ≈ </t>
    </r>
    <r>
      <rPr>
        <sz val="10"/>
        <rFont val="Arial"/>
        <family val="0"/>
        <charset val="1"/>
      </rPr>
      <t xml:space="preserve">X </t>
    </r>
    <r>
      <rPr>
        <sz val="10"/>
        <rFont val="WenQuanYi Zen Hei"/>
        <family val="2"/>
      </rPr>
      <t xml:space="preserve">本练习册（叠起来的高度动画）</t>
    </r>
  </si>
  <si>
    <t xml:space="preserve">一道题改变不了什么，一千道可以</t>
  </si>
  <si>
    <t xml:space="preserve">D5</t>
  </si>
  <si>
    <t xml:space="preserve">曲线下面的面积</t>
  </si>
  <si>
    <r>
      <rPr>
        <sz val="10"/>
        <rFont val="WenQuanYi Zen Hei"/>
        <family val="2"/>
      </rPr>
      <t xml:space="preserve">积分思想：每天一小段 </t>
    </r>
    <r>
      <rPr>
        <sz val="10"/>
        <rFont val="Arial"/>
        <family val="0"/>
        <charset val="1"/>
      </rPr>
      <t xml:space="preserve">dx</t>
    </r>
    <r>
      <rPr>
        <sz val="10"/>
        <rFont val="WenQuanYi Zen Hei"/>
        <family val="2"/>
      </rPr>
      <t xml:space="preserve">，三年后是整片面积（高三数学向）</t>
    </r>
  </si>
  <si>
    <t xml:space="preserve">你看不见每一天，但它们全部算数</t>
  </si>
  <si>
    <t xml:space="preserve">高二高三生</t>
  </si>
  <si>
    <r>
      <rPr>
        <sz val="10"/>
        <rFont val="Arial"/>
        <family val="0"/>
        <charset val="1"/>
      </rPr>
      <t xml:space="preserve">D5_</t>
    </r>
    <r>
      <rPr>
        <sz val="10"/>
        <rFont val="WenQuanYi Zen Hei"/>
        <family val="2"/>
      </rPr>
      <t xml:space="preserve">曲线下面的面积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无配音</t>
    </r>
    <r>
      <rPr>
        <sz val="10"/>
        <rFont val="Arial"/>
        <family val="0"/>
        <charset val="1"/>
      </rPr>
      <t xml:space="preserve">.mp4 / _AI</t>
    </r>
    <r>
      <rPr>
        <sz val="10"/>
        <rFont val="WenQuanYi Zen Hei"/>
        <family val="2"/>
      </rPr>
      <t xml:space="preserve">配音</t>
    </r>
    <r>
      <rPr>
        <sz val="10"/>
        <rFont val="Arial"/>
        <family val="0"/>
        <charset val="1"/>
      </rPr>
      <t xml:space="preserve">.mp4</t>
    </r>
  </si>
  <si>
    <t xml:space="preserve">E1</t>
  </si>
  <si>
    <t xml:space="preserve">同样的阳光，为什么能点燃纸？</t>
  </si>
  <si>
    <t xml:space="preserve">凸透镜聚焦：同样的光能量集中到一点，温度大幅升高</t>
  </si>
  <si>
    <t xml:space="preserve">不是你不够亮，是你太分散</t>
  </si>
  <si>
    <r>
      <rPr>
        <sz val="10"/>
        <rFont val="Arial"/>
        <family val="0"/>
        <charset val="1"/>
      </rPr>
      <t xml:space="preserve">E1_</t>
    </r>
    <r>
      <rPr>
        <sz val="10"/>
        <rFont val="WenQuanYi Zen Hei"/>
        <family val="2"/>
      </rPr>
      <t xml:space="preserve">同样的阳光为什么能点燃纸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无配音</t>
    </r>
    <r>
      <rPr>
        <sz val="10"/>
        <rFont val="Arial"/>
        <family val="0"/>
        <charset val="1"/>
      </rPr>
      <t xml:space="preserve">.mp4 / _AI</t>
    </r>
    <r>
      <rPr>
        <sz val="10"/>
        <rFont val="WenQuanYi Zen Hei"/>
        <family val="2"/>
      </rPr>
      <t xml:space="preserve">配音</t>
    </r>
    <r>
      <rPr>
        <sz val="10"/>
        <rFont val="Arial"/>
        <family val="0"/>
        <charset val="1"/>
      </rPr>
      <t xml:space="preserve">.mp4</t>
    </r>
  </si>
  <si>
    <t xml:space="preserve">E2</t>
  </si>
  <si>
    <r>
      <rPr>
        <sz val="10"/>
        <rFont val="Arial"/>
        <family val="0"/>
        <charset val="1"/>
      </rPr>
      <t xml:space="preserve">4 </t>
    </r>
    <r>
      <rPr>
        <sz val="10"/>
        <rFont val="WenQuanYi Zen Hei"/>
        <family val="2"/>
      </rPr>
      <t xml:space="preserve">科各 </t>
    </r>
    <r>
      <rPr>
        <sz val="10"/>
        <rFont val="Arial"/>
        <family val="0"/>
        <charset val="1"/>
      </rPr>
      <t xml:space="preserve">15%</t>
    </r>
    <r>
      <rPr>
        <sz val="10"/>
        <rFont val="WenQuanYi Zen Hei"/>
        <family val="2"/>
      </rPr>
      <t xml:space="preserve">，不如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科 </t>
    </r>
    <r>
      <rPr>
        <sz val="10"/>
        <rFont val="Arial"/>
        <family val="0"/>
        <charset val="1"/>
      </rPr>
      <t xml:space="preserve">60%</t>
    </r>
  </si>
  <si>
    <r>
      <rPr>
        <sz val="10"/>
        <rFont val="WenQuanYi Zen Hei"/>
        <family val="2"/>
      </rPr>
      <t xml:space="preserve">渗流的</t>
    </r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密度</t>
    </r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原理：同样数量的亮格分给 </t>
    </r>
    <r>
      <rPr>
        <sz val="10"/>
        <rFont val="Arial"/>
        <family val="0"/>
        <charset val="1"/>
      </rPr>
      <t xml:space="preserve">4 </t>
    </r>
    <r>
      <rPr>
        <sz val="10"/>
        <rFont val="WenQuanYi Zen Hei"/>
        <family val="2"/>
      </rPr>
      <t xml:space="preserve">张网格都不通，收进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张就通了</t>
    </r>
  </si>
  <si>
    <t xml:space="preserve">先打穿一科，再谈全面</t>
  </si>
  <si>
    <r>
      <rPr>
        <sz val="10"/>
        <rFont val="WenQuanYi Zen Hei"/>
        <family val="2"/>
      </rPr>
      <t xml:space="preserve">家长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学生</t>
    </r>
  </si>
  <si>
    <r>
      <rPr>
        <sz val="10"/>
        <rFont val="Arial"/>
        <family val="0"/>
        <charset val="1"/>
      </rPr>
      <t xml:space="preserve">E2_</t>
    </r>
    <r>
      <rPr>
        <sz val="10"/>
        <rFont val="WenQuanYi Zen Hei"/>
        <family val="2"/>
      </rPr>
      <t xml:space="preserve">寒假别想全科都补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无配音</t>
    </r>
    <r>
      <rPr>
        <sz val="10"/>
        <rFont val="Arial"/>
        <family val="0"/>
        <charset val="1"/>
      </rPr>
      <t xml:space="preserve">.mp4 / _AI</t>
    </r>
    <r>
      <rPr>
        <sz val="10"/>
        <rFont val="WenQuanYi Zen Hei"/>
        <family val="2"/>
      </rPr>
      <t xml:space="preserve">配音</t>
    </r>
    <r>
      <rPr>
        <sz val="10"/>
        <rFont val="Arial"/>
        <family val="0"/>
        <charset val="1"/>
      </rPr>
      <t xml:space="preserve">.mp4</t>
    </r>
  </si>
  <si>
    <t xml:space="preserve">E3</t>
  </si>
  <si>
    <t xml:space="preserve">钉子为什么能钉进墙？</t>
  </si>
  <si>
    <r>
      <rPr>
        <sz val="10"/>
        <rFont val="WenQuanYi Zen Hei"/>
        <family val="2"/>
      </rPr>
      <t xml:space="preserve">压强 </t>
    </r>
    <r>
      <rPr>
        <sz val="10"/>
        <rFont val="Arial"/>
        <family val="0"/>
        <charset val="1"/>
      </rPr>
      <t xml:space="preserve">P = F/S</t>
    </r>
    <r>
      <rPr>
        <sz val="10"/>
        <rFont val="WenQuanYi Zen Hei"/>
        <family val="2"/>
      </rPr>
      <t xml:space="preserve">：同样的力，面积越小压强越大</t>
    </r>
  </si>
  <si>
    <t xml:space="preserve">力气要用在一个点上</t>
  </si>
  <si>
    <t xml:space="preserve">E4</t>
  </si>
  <si>
    <r>
      <rPr>
        <sz val="10"/>
        <rFont val="WenQuanYi Zen Hei"/>
        <family val="2"/>
      </rPr>
      <t xml:space="preserve">一心多用，偷走你 </t>
    </r>
    <r>
      <rPr>
        <sz val="10"/>
        <rFont val="Arial"/>
        <family val="0"/>
        <charset val="1"/>
      </rPr>
      <t xml:space="preserve">40% </t>
    </r>
    <r>
      <rPr>
        <sz val="10"/>
        <rFont val="WenQuanYi Zen Hei"/>
        <family val="2"/>
      </rPr>
      <t xml:space="preserve">的时间</t>
    </r>
  </si>
  <si>
    <r>
      <rPr>
        <sz val="10"/>
        <rFont val="Arial"/>
        <family val="0"/>
        <charset val="1"/>
      </rPr>
      <t xml:space="preserve">APA</t>
    </r>
    <r>
      <rPr>
        <sz val="10"/>
        <rFont val="WenQuanYi Zen Hei"/>
        <family val="2"/>
      </rPr>
      <t xml:space="preserve">（美国心理学会）引用研究：任务切换最多可损失 </t>
    </r>
    <r>
      <rPr>
        <sz val="10"/>
        <rFont val="Arial"/>
        <family val="0"/>
        <charset val="1"/>
      </rPr>
      <t xml:space="preserve">40% </t>
    </r>
    <r>
      <rPr>
        <sz val="10"/>
        <rFont val="WenQuanYi Zen Hei"/>
        <family val="2"/>
      </rPr>
      <t xml:space="preserve">的有效时间</t>
    </r>
  </si>
  <si>
    <t xml:space="preserve">写作业时回一条消息，代价比你想的大</t>
  </si>
  <si>
    <r>
      <rPr>
        <sz val="10"/>
        <rFont val="Arial"/>
        <family val="0"/>
        <charset val="1"/>
      </rPr>
      <t xml:space="preserve">E4_</t>
    </r>
    <r>
      <rPr>
        <sz val="10"/>
        <rFont val="WenQuanYi Zen Hei"/>
        <family val="2"/>
      </rPr>
      <t xml:space="preserve">边写作业边回消息代价有多大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无配音</t>
    </r>
    <r>
      <rPr>
        <sz val="10"/>
        <rFont val="Arial"/>
        <family val="0"/>
        <charset val="1"/>
      </rPr>
      <t xml:space="preserve">.mp4 / _AI</t>
    </r>
    <r>
      <rPr>
        <sz val="10"/>
        <rFont val="WenQuanYi Zen Hei"/>
        <family val="2"/>
      </rPr>
      <t xml:space="preserve">配音</t>
    </r>
    <r>
      <rPr>
        <sz val="10"/>
        <rFont val="Arial"/>
        <family val="0"/>
        <charset val="1"/>
      </rPr>
      <t xml:space="preserve">.mp4</t>
    </r>
  </si>
  <si>
    <t xml:space="preserve">E5</t>
  </si>
  <si>
    <r>
      <rPr>
        <sz val="10"/>
        <rFont val="Arial"/>
        <family val="0"/>
        <charset val="1"/>
      </rPr>
      <t xml:space="preserve">6 </t>
    </r>
    <r>
      <rPr>
        <sz val="10"/>
        <rFont val="WenQuanYi Zen Hei"/>
        <family val="2"/>
      </rPr>
      <t xml:space="preserve">科各提 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分 </t>
    </r>
    <r>
      <rPr>
        <sz val="10"/>
        <rFont val="Arial"/>
        <family val="0"/>
        <charset val="1"/>
      </rPr>
      <t xml:space="preserve">vs 1 </t>
    </r>
    <r>
      <rPr>
        <sz val="10"/>
        <rFont val="WenQuanYi Zen Hei"/>
        <family val="2"/>
      </rPr>
      <t xml:space="preserve">科提 </t>
    </r>
    <r>
      <rPr>
        <sz val="10"/>
        <rFont val="Arial"/>
        <family val="0"/>
        <charset val="1"/>
      </rPr>
      <t xml:space="preserve">18 </t>
    </r>
    <r>
      <rPr>
        <sz val="10"/>
        <rFont val="WenQuanYi Zen Hei"/>
        <family val="2"/>
      </rPr>
      <t xml:space="preserve">分</t>
    </r>
  </si>
  <si>
    <r>
      <rPr>
        <sz val="10"/>
        <rFont val="WenQuanYi Zen Hei"/>
        <family val="2"/>
      </rPr>
      <t xml:space="preserve">同样 </t>
    </r>
    <r>
      <rPr>
        <sz val="10"/>
        <rFont val="Arial"/>
        <family val="0"/>
        <charset val="1"/>
      </rPr>
      <t xml:space="preserve">18 </t>
    </r>
    <r>
      <rPr>
        <sz val="10"/>
        <rFont val="WenQuanYi Zen Hei"/>
        <family val="2"/>
      </rPr>
      <t xml:space="preserve">分，哪个更容易？用弱科的提分空间做对比</t>
    </r>
  </si>
  <si>
    <t xml:space="preserve">做减法，是最快的加法</t>
  </si>
  <si>
    <t xml:space="preserve">E6</t>
  </si>
  <si>
    <t xml:space="preserve">学习时，手机放哪？</t>
  </si>
  <si>
    <r>
      <rPr>
        <sz val="10"/>
        <rFont val="Arial"/>
        <family val="0"/>
        <charset val="1"/>
      </rPr>
      <t xml:space="preserve">Ward </t>
    </r>
    <r>
      <rPr>
        <sz val="10"/>
        <rFont val="WenQuanYi Zen Hei"/>
        <family val="2"/>
      </rPr>
      <t xml:space="preserve">等（</t>
    </r>
    <r>
      <rPr>
        <sz val="10"/>
        <rFont val="Arial"/>
        <family val="0"/>
        <charset val="1"/>
      </rPr>
      <t xml:space="preserve">2017</t>
    </r>
    <r>
      <rPr>
        <sz val="10"/>
        <rFont val="WenQuanYi Zen Hei"/>
        <family val="2"/>
      </rPr>
      <t xml:space="preserve">）近 </t>
    </r>
    <r>
      <rPr>
        <sz val="10"/>
        <rFont val="Arial"/>
        <family val="0"/>
        <charset val="1"/>
      </rPr>
      <t xml:space="preserve">800 </t>
    </r>
    <r>
      <rPr>
        <sz val="10"/>
        <rFont val="WenQuanYi Zen Hei"/>
        <family val="2"/>
      </rPr>
      <t xml:space="preserve">人实验：手机放在另一个房间的人测试表现最好，放桌上最差，即使静音朝下</t>
    </r>
  </si>
  <si>
    <t xml:space="preserve">学习的时候，让手机离开房间</t>
  </si>
  <si>
    <r>
      <rPr>
        <sz val="10"/>
        <rFont val="WenQuanYi Zen Hei"/>
        <family val="2"/>
      </rPr>
      <t xml:space="preserve">第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批</t>
    </r>
  </si>
  <si>
    <r>
      <rPr>
        <sz val="10"/>
        <rFont val="Arial"/>
        <family val="0"/>
        <charset val="1"/>
      </rPr>
      <t xml:space="preserve">E6_</t>
    </r>
    <r>
      <rPr>
        <sz val="10"/>
        <rFont val="WenQuanYi Zen Hei"/>
        <family val="2"/>
      </rPr>
      <t xml:space="preserve">学习时手机放哪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无配音</t>
    </r>
    <r>
      <rPr>
        <sz val="10"/>
        <rFont val="Arial"/>
        <family val="0"/>
        <charset val="1"/>
      </rPr>
      <t xml:space="preserve">.mp4 / _AI</t>
    </r>
    <r>
      <rPr>
        <sz val="10"/>
        <rFont val="WenQuanYi Zen Hei"/>
        <family val="2"/>
      </rPr>
      <t xml:space="preserve">配音</t>
    </r>
    <r>
      <rPr>
        <sz val="10"/>
        <rFont val="Arial"/>
        <family val="0"/>
        <charset val="1"/>
      </rPr>
      <t xml:space="preserve">.mp4</t>
    </r>
  </si>
  <si>
    <t xml:space="preserve">F1</t>
  </si>
  <si>
    <r>
      <rPr>
        <sz val="10"/>
        <rFont val="WenQuanYi Zen Hei"/>
        <family val="2"/>
      </rPr>
      <t xml:space="preserve">你背过的东西，一天后只剩 </t>
    </r>
    <r>
      <rPr>
        <sz val="10"/>
        <rFont val="Arial"/>
        <family val="0"/>
        <charset val="1"/>
      </rPr>
      <t xml:space="preserve">34%</t>
    </r>
  </si>
  <si>
    <r>
      <rPr>
        <sz val="10"/>
        <rFont val="WenQuanYi Zen Hei"/>
        <family val="2"/>
      </rPr>
      <t xml:space="preserve">艾宾浩斯遗忘曲线：</t>
    </r>
    <r>
      <rPr>
        <sz val="10"/>
        <rFont val="Arial"/>
        <family val="0"/>
        <charset val="1"/>
      </rPr>
      <t xml:space="preserve">20 </t>
    </r>
    <r>
      <rPr>
        <sz val="10"/>
        <rFont val="WenQuanYi Zen Hei"/>
        <family val="2"/>
      </rPr>
      <t xml:space="preserve">分钟后 </t>
    </r>
    <r>
      <rPr>
        <sz val="10"/>
        <rFont val="Arial"/>
        <family val="0"/>
        <charset val="1"/>
      </rPr>
      <t xml:space="preserve">58%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小时 </t>
    </r>
    <r>
      <rPr>
        <sz val="10"/>
        <rFont val="Arial"/>
        <family val="0"/>
        <charset val="1"/>
      </rPr>
      <t xml:space="preserve">44%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天 </t>
    </r>
    <r>
      <rPr>
        <sz val="10"/>
        <rFont val="Arial"/>
        <family val="0"/>
        <charset val="1"/>
      </rPr>
      <t xml:space="preserve">34%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6 </t>
    </r>
    <r>
      <rPr>
        <sz val="10"/>
        <rFont val="WenQuanYi Zen Hei"/>
        <family val="2"/>
      </rPr>
      <t xml:space="preserve">天 </t>
    </r>
    <r>
      <rPr>
        <sz val="10"/>
        <rFont val="Arial"/>
        <family val="0"/>
        <charset val="1"/>
      </rPr>
      <t xml:space="preserve">25%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31 </t>
    </r>
    <r>
      <rPr>
        <sz val="10"/>
        <rFont val="WenQuanYi Zen Hei"/>
        <family val="2"/>
      </rPr>
      <t xml:space="preserve">天 </t>
    </r>
    <r>
      <rPr>
        <sz val="10"/>
        <rFont val="Arial"/>
        <family val="0"/>
        <charset val="1"/>
      </rPr>
      <t xml:space="preserve">21%</t>
    </r>
    <r>
      <rPr>
        <sz val="10"/>
        <rFont val="WenQuanYi Zen Hei"/>
        <family val="2"/>
      </rPr>
      <t xml:space="preserve">；加入间隔复习后曲线被反复</t>
    </r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拉回</t>
    </r>
    <r>
      <rPr>
        <sz val="10"/>
        <rFont val="Arial"/>
        <family val="0"/>
        <charset val="1"/>
      </rPr>
      <t xml:space="preserve">"</t>
    </r>
  </si>
  <si>
    <t xml:space="preserve">不是你记性差，是没在对的时间复习</t>
  </si>
  <si>
    <r>
      <rPr>
        <sz val="10"/>
        <rFont val="Arial"/>
        <family val="0"/>
        <charset val="1"/>
      </rPr>
      <t xml:space="preserve">F1_</t>
    </r>
    <r>
      <rPr>
        <sz val="10"/>
        <rFont val="WenQuanYi Zen Hei"/>
        <family val="2"/>
      </rPr>
      <t xml:space="preserve">遗忘曲线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无配音</t>
    </r>
    <r>
      <rPr>
        <sz val="10"/>
        <rFont val="Arial"/>
        <family val="0"/>
        <charset val="1"/>
      </rPr>
      <t xml:space="preserve">.mp4 / _AI</t>
    </r>
    <r>
      <rPr>
        <sz val="10"/>
        <rFont val="WenQuanYi Zen Hei"/>
        <family val="2"/>
      </rPr>
      <t xml:space="preserve">配音</t>
    </r>
    <r>
      <rPr>
        <sz val="10"/>
        <rFont val="Arial"/>
        <family val="0"/>
        <charset val="1"/>
      </rPr>
      <t xml:space="preserve">.mp4</t>
    </r>
  </si>
  <si>
    <t xml:space="preserve">F2</t>
  </si>
  <si>
    <t xml:space="preserve">努力是一个向量</t>
  </si>
  <si>
    <r>
      <rPr>
        <sz val="10"/>
        <rFont val="WenQuanYi Zen Hei"/>
        <family val="2"/>
      </rPr>
      <t xml:space="preserve">有效分量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努力 </t>
    </r>
    <r>
      <rPr>
        <sz val="10"/>
        <rFont val="Arial"/>
        <family val="0"/>
        <charset val="1"/>
      </rPr>
      <t xml:space="preserve">× cosθ</t>
    </r>
    <r>
      <rPr>
        <sz val="10"/>
        <rFont val="WenQuanYi Zen Hei"/>
        <family val="2"/>
      </rPr>
      <t xml:space="preserve">：方向偏 </t>
    </r>
    <r>
      <rPr>
        <sz val="10"/>
        <rFont val="Arial"/>
        <family val="0"/>
        <charset val="1"/>
      </rPr>
      <t xml:space="preserve">30°</t>
    </r>
    <r>
      <rPr>
        <sz val="10"/>
        <rFont val="WenQuanYi Zen Hei"/>
        <family val="2"/>
      </rPr>
      <t xml:space="preserve">，损失 </t>
    </r>
    <r>
      <rPr>
        <sz val="10"/>
        <rFont val="Arial"/>
        <family val="0"/>
        <charset val="1"/>
      </rPr>
      <t xml:space="preserve">13%</t>
    </r>
    <r>
      <rPr>
        <sz val="10"/>
        <rFont val="WenQuanYi Zen Hei"/>
        <family val="2"/>
      </rPr>
      <t xml:space="preserve">；偏 </t>
    </r>
    <r>
      <rPr>
        <sz val="10"/>
        <rFont val="Arial"/>
        <family val="0"/>
        <charset val="1"/>
      </rPr>
      <t xml:space="preserve">60°</t>
    </r>
    <r>
      <rPr>
        <sz val="10"/>
        <rFont val="WenQuanYi Zen Hei"/>
        <family val="2"/>
      </rPr>
      <t xml:space="preserve">，损失一半；偏 </t>
    </r>
    <r>
      <rPr>
        <sz val="10"/>
        <rFont val="Arial"/>
        <family val="0"/>
        <charset val="1"/>
      </rPr>
      <t xml:space="preserve">90°</t>
    </r>
    <r>
      <rPr>
        <sz val="10"/>
        <rFont val="WenQuanYi Zen Hei"/>
        <family val="2"/>
      </rPr>
      <t xml:space="preserve">，全部白费</t>
    </r>
  </si>
  <si>
    <t xml:space="preserve">方向不对，越努力越远</t>
  </si>
  <si>
    <r>
      <rPr>
        <sz val="10"/>
        <rFont val="Arial"/>
        <family val="0"/>
        <charset val="1"/>
      </rPr>
      <t xml:space="preserve">F2_</t>
    </r>
    <r>
      <rPr>
        <sz val="10"/>
        <rFont val="WenQuanYi Zen Hei"/>
        <family val="2"/>
      </rPr>
      <t xml:space="preserve">努力是一个向量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无配音</t>
    </r>
    <r>
      <rPr>
        <sz val="10"/>
        <rFont val="Arial"/>
        <family val="0"/>
        <charset val="1"/>
      </rPr>
      <t xml:space="preserve">.mp4 / _AI</t>
    </r>
    <r>
      <rPr>
        <sz val="10"/>
        <rFont val="WenQuanYi Zen Hei"/>
        <family val="2"/>
      </rPr>
      <t xml:space="preserve">配音</t>
    </r>
    <r>
      <rPr>
        <sz val="10"/>
        <rFont val="Arial"/>
        <family val="0"/>
        <charset val="1"/>
      </rPr>
      <t xml:space="preserve">.mp4</t>
    </r>
  </si>
  <si>
    <t xml:space="preserve">F3</t>
  </si>
  <si>
    <t xml:space="preserve">给我一个支点</t>
  </si>
  <si>
    <r>
      <rPr>
        <sz val="10"/>
        <rFont val="WenQuanYi Zen Hei"/>
        <family val="2"/>
      </rPr>
      <t xml:space="preserve">杠杆平衡 </t>
    </r>
    <r>
      <rPr>
        <sz val="10"/>
        <rFont val="Arial"/>
        <family val="0"/>
        <charset val="1"/>
      </rPr>
      <t xml:space="preserve">F₁L₁ = F₂L₂</t>
    </r>
    <r>
      <rPr>
        <sz val="10"/>
        <rFont val="WenQuanYi Zen Hei"/>
        <family val="2"/>
      </rPr>
      <t xml:space="preserve">：动力臂是阻力臂 </t>
    </r>
    <r>
      <rPr>
        <sz val="10"/>
        <rFont val="Arial"/>
        <family val="0"/>
        <charset val="1"/>
      </rPr>
      <t xml:space="preserve">6 </t>
    </r>
    <r>
      <rPr>
        <sz val="10"/>
        <rFont val="WenQuanYi Zen Hei"/>
        <family val="2"/>
      </rPr>
      <t xml:space="preserve">倍，</t>
    </r>
    <r>
      <rPr>
        <sz val="10"/>
        <rFont val="Arial"/>
        <family val="0"/>
        <charset val="1"/>
      </rPr>
      <t xml:space="preserve">10 </t>
    </r>
    <r>
      <rPr>
        <sz val="10"/>
        <rFont val="WenQuanYi Zen Hei"/>
        <family val="2"/>
      </rPr>
      <t xml:space="preserve">公斤撬起 </t>
    </r>
    <r>
      <rPr>
        <sz val="10"/>
        <rFont val="Arial"/>
        <family val="0"/>
        <charset val="1"/>
      </rPr>
      <t xml:space="preserve">60 </t>
    </r>
    <r>
      <rPr>
        <sz val="10"/>
        <rFont val="WenQuanYi Zen Hei"/>
        <family val="2"/>
      </rPr>
      <t xml:space="preserve">公斤；相传阿基米德名言</t>
    </r>
  </si>
  <si>
    <t xml:space="preserve">好老师和好方法，就是孩子的力臂</t>
  </si>
  <si>
    <t xml:space="preserve">孔版印刷</t>
  </si>
  <si>
    <r>
      <rPr>
        <sz val="10"/>
        <rFont val="Arial"/>
        <family val="0"/>
        <charset val="1"/>
      </rPr>
      <t xml:space="preserve">F3_</t>
    </r>
    <r>
      <rPr>
        <sz val="10"/>
        <rFont val="WenQuanYi Zen Hei"/>
        <family val="2"/>
      </rPr>
      <t xml:space="preserve">给我一个支点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无配音</t>
    </r>
    <r>
      <rPr>
        <sz val="10"/>
        <rFont val="Arial"/>
        <family val="0"/>
        <charset val="1"/>
      </rPr>
      <t xml:space="preserve">.mp4 / _AI</t>
    </r>
    <r>
      <rPr>
        <sz val="10"/>
        <rFont val="WenQuanYi Zen Hei"/>
        <family val="2"/>
      </rPr>
      <t xml:space="preserve">配音</t>
    </r>
    <r>
      <rPr>
        <sz val="10"/>
        <rFont val="Arial"/>
        <family val="0"/>
        <charset val="1"/>
      </rPr>
      <t xml:space="preserve">.mp4</t>
    </r>
  </si>
  <si>
    <t xml:space="preserve">F4</t>
  </si>
  <si>
    <t xml:space="preserve">站在巨人的肩膀上</t>
  </si>
  <si>
    <r>
      <rPr>
        <sz val="10"/>
        <rFont val="WenQuanYi Zen Hei"/>
        <family val="2"/>
      </rPr>
      <t xml:space="preserve">牛顿 </t>
    </r>
    <r>
      <rPr>
        <sz val="10"/>
        <rFont val="Arial"/>
        <family val="0"/>
        <charset val="1"/>
      </rPr>
      <t xml:space="preserve">1675 </t>
    </r>
    <r>
      <rPr>
        <sz val="10"/>
        <rFont val="WenQuanYi Zen Hei"/>
        <family val="2"/>
      </rPr>
      <t xml:space="preserve">年信件原话；高中物理公式背后是几百年的积累（时间轴动画）</t>
    </r>
  </si>
  <si>
    <t xml:space="preserve">不必从零摸索，前人已经铺好了路</t>
  </si>
  <si>
    <t xml:space="preserve">F5</t>
  </si>
  <si>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是怎么学会的？靠犯错</t>
    </r>
  </si>
  <si>
    <t xml:space="preserve">梯度下降：小球沿误差曲面一步步滚到最低点，每一次错误都提供方向</t>
  </si>
  <si>
    <t xml:space="preserve">错题不是失败，是你的梯度</t>
  </si>
  <si>
    <r>
      <rPr>
        <sz val="10"/>
        <rFont val="Arial"/>
        <family val="0"/>
        <charset val="1"/>
      </rPr>
      <t xml:space="preserve">F5_AI</t>
    </r>
    <r>
      <rPr>
        <sz val="10"/>
        <rFont val="WenQuanYi Zen Hei"/>
        <family val="2"/>
      </rPr>
      <t xml:space="preserve">是靠犯错学会的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无配音</t>
    </r>
    <r>
      <rPr>
        <sz val="10"/>
        <rFont val="Arial"/>
        <family val="0"/>
        <charset val="1"/>
      </rPr>
      <t xml:space="preserve">.mp4 / _AI</t>
    </r>
    <r>
      <rPr>
        <sz val="10"/>
        <rFont val="WenQuanYi Zen Hei"/>
        <family val="2"/>
      </rPr>
      <t xml:space="preserve">配音</t>
    </r>
    <r>
      <rPr>
        <sz val="10"/>
        <rFont val="Arial"/>
        <family val="0"/>
        <charset val="1"/>
      </rPr>
      <t xml:space="preserve">.mp4</t>
    </r>
  </si>
  <si>
    <t xml:space="preserve">F6</t>
  </si>
  <si>
    <t xml:space="preserve">新学期目标，拆小了才能完成</t>
  </si>
  <si>
    <r>
      <rPr>
        <sz val="10"/>
        <rFont val="Arial"/>
        <family val="0"/>
        <charset val="1"/>
      </rPr>
      <t xml:space="preserve">Bandura &amp; Schunk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1981</t>
    </r>
    <r>
      <rPr>
        <sz val="10"/>
        <rFont val="WenQuanYi Zen Hei"/>
        <family val="2"/>
      </rPr>
      <t xml:space="preserve">）：</t>
    </r>
    <r>
      <rPr>
        <sz val="10"/>
        <rFont val="Arial"/>
        <family val="0"/>
        <charset val="1"/>
      </rPr>
      <t xml:space="preserve">42 </t>
    </r>
    <r>
      <rPr>
        <sz val="10"/>
        <rFont val="WenQuanYi Zen Hei"/>
        <family val="2"/>
      </rPr>
      <t xml:space="preserve">页数学练习，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每次 </t>
    </r>
    <r>
      <rPr>
        <sz val="10"/>
        <rFont val="Arial"/>
        <family val="0"/>
        <charset val="1"/>
      </rPr>
      <t xml:space="preserve">6 </t>
    </r>
    <r>
      <rPr>
        <sz val="10"/>
        <rFont val="WenQuanYi Zen Hei"/>
        <family val="2"/>
      </rPr>
      <t xml:space="preserve">页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的小目标组进步最快、最有信心</t>
    </r>
  </si>
  <si>
    <t xml:space="preserve">大目标定方向，小目标给动力</t>
  </si>
  <si>
    <r>
      <rPr>
        <sz val="10"/>
        <rFont val="Arial"/>
        <family val="0"/>
        <charset val="1"/>
      </rPr>
      <t xml:space="preserve">F6_</t>
    </r>
    <r>
      <rPr>
        <sz val="10"/>
        <rFont val="WenQuanYi Zen Hei"/>
        <family val="2"/>
      </rPr>
      <t xml:space="preserve">新学期目标拆小了才能完成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无配音</t>
    </r>
    <r>
      <rPr>
        <sz val="10"/>
        <rFont val="Arial"/>
        <family val="0"/>
        <charset val="1"/>
      </rPr>
      <t xml:space="preserve">.mp4 / _AI</t>
    </r>
    <r>
      <rPr>
        <sz val="10"/>
        <rFont val="WenQuanYi Zen Hei"/>
        <family val="2"/>
      </rPr>
      <t xml:space="preserve">配音</t>
    </r>
    <r>
      <rPr>
        <sz val="10"/>
        <rFont val="Arial"/>
        <family val="0"/>
        <charset val="1"/>
      </rPr>
      <t xml:space="preserve">.mp4</t>
    </r>
  </si>
  <si>
    <t xml:space="preserve">G1</t>
  </si>
  <si>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分，能压倒多少人？</t>
    </r>
  </si>
  <si>
    <r>
      <rPr>
        <sz val="10"/>
        <rFont val="WenQuanYi Zen Hei"/>
        <family val="2"/>
      </rPr>
      <t xml:space="preserve">正态分布：中间段分数最密集，中等生每多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分超过的人最多（钟形曲线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人群点阵）</t>
    </r>
  </si>
  <si>
    <r>
      <rPr>
        <sz val="10"/>
        <rFont val="WenQuanYi Zen Hei"/>
        <family val="2"/>
      </rPr>
      <t xml:space="preserve">越是中间的分数，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分越值钱</t>
    </r>
  </si>
  <si>
    <r>
      <rPr>
        <sz val="10"/>
        <rFont val="WenQuanYi Zen Hei"/>
        <family val="2"/>
      </rPr>
      <t xml:space="preserve">家长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中等生</t>
    </r>
  </si>
  <si>
    <r>
      <rPr>
        <sz val="10"/>
        <rFont val="Arial"/>
        <family val="0"/>
        <charset val="1"/>
      </rPr>
      <t xml:space="preserve">G1_1</t>
    </r>
    <r>
      <rPr>
        <sz val="10"/>
        <rFont val="WenQuanYi Zen Hei"/>
        <family val="2"/>
      </rPr>
      <t xml:space="preserve">分能压倒多少人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无配音</t>
    </r>
    <r>
      <rPr>
        <sz val="10"/>
        <rFont val="Arial"/>
        <family val="0"/>
        <charset val="1"/>
      </rPr>
      <t xml:space="preserve">.mp4 / _AI</t>
    </r>
    <r>
      <rPr>
        <sz val="10"/>
        <rFont val="WenQuanYi Zen Hei"/>
        <family val="2"/>
      </rPr>
      <t xml:space="preserve">配音</t>
    </r>
    <r>
      <rPr>
        <sz val="10"/>
        <rFont val="Arial"/>
        <family val="0"/>
        <charset val="1"/>
      </rPr>
      <t xml:space="preserve">.mp4</t>
    </r>
  </si>
  <si>
    <t xml:space="preserve">G2</t>
  </si>
  <si>
    <t xml:space="preserve">你在进步，名次为什么没变？</t>
  </si>
  <si>
    <r>
      <rPr>
        <sz val="10"/>
        <rFont val="WenQuanYi Zen Hei"/>
        <family val="2"/>
      </rPr>
      <t xml:space="preserve">相对运动：别人也在跑（参照系动画）；《爱丽丝镜中奇遇》：</t>
    </r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你必须拼命奔跑，才能留在原地</t>
    </r>
    <r>
      <rPr>
        <sz val="10"/>
        <rFont val="Arial"/>
        <family val="0"/>
        <charset val="1"/>
      </rPr>
      <t xml:space="preserve">"</t>
    </r>
  </si>
  <si>
    <t xml:space="preserve">原地踏步，就是后退</t>
  </si>
  <si>
    <r>
      <rPr>
        <sz val="10"/>
        <rFont val="Arial"/>
        <family val="0"/>
        <charset val="1"/>
      </rPr>
      <t xml:space="preserve">G2_</t>
    </r>
    <r>
      <rPr>
        <sz val="10"/>
        <rFont val="WenQuanYi Zen Hei"/>
        <family val="2"/>
      </rPr>
      <t xml:space="preserve">寒假你进步了名次为什么没变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无配音</t>
    </r>
    <r>
      <rPr>
        <sz val="10"/>
        <rFont val="Arial"/>
        <family val="0"/>
        <charset val="1"/>
      </rPr>
      <t xml:space="preserve">.mp4 / _AI</t>
    </r>
    <r>
      <rPr>
        <sz val="10"/>
        <rFont val="WenQuanYi Zen Hei"/>
        <family val="2"/>
      </rPr>
      <t xml:space="preserve">配音</t>
    </r>
    <r>
      <rPr>
        <sz val="10"/>
        <rFont val="Arial"/>
        <family val="0"/>
        <charset val="1"/>
      </rPr>
      <t xml:space="preserve">.mp4</t>
    </r>
  </si>
  <si>
    <t xml:space="preserve">G3</t>
  </si>
  <si>
    <r>
      <rPr>
        <sz val="10"/>
        <rFont val="WenQuanYi Zen Hei"/>
        <family val="2"/>
      </rPr>
      <t xml:space="preserve">差距是按</t>
    </r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平方</t>
    </r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拉大的</t>
    </r>
  </si>
  <si>
    <r>
      <rPr>
        <sz val="10"/>
        <rFont val="Arial"/>
        <family val="0"/>
        <charset val="1"/>
      </rPr>
      <t xml:space="preserve">s = ½at²</t>
    </r>
    <r>
      <rPr>
        <sz val="10"/>
        <rFont val="WenQuanYi Zen Hei"/>
        <family val="2"/>
      </rPr>
      <t xml:space="preserve">：两人加速度相差恒定，差距与时间平方成正比——第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10 </t>
    </r>
    <r>
      <rPr>
        <sz val="10"/>
        <rFont val="WenQuanYi Zen Hei"/>
        <family val="2"/>
      </rPr>
      <t xml:space="preserve">个月差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100 </t>
    </r>
    <r>
      <rPr>
        <sz val="10"/>
        <rFont val="WenQuanYi Zen Hei"/>
        <family val="2"/>
      </rPr>
      <t xml:space="preserve">步（示意）</t>
    </r>
  </si>
  <si>
    <t xml:space="preserve">现在的一点点，高考时是一大截</t>
  </si>
  <si>
    <r>
      <rPr>
        <sz val="10"/>
        <rFont val="Arial"/>
        <family val="0"/>
        <charset val="1"/>
      </rPr>
      <t xml:space="preserve">G3_</t>
    </r>
    <r>
      <rPr>
        <sz val="10"/>
        <rFont val="WenQuanYi Zen Hei"/>
        <family val="2"/>
      </rPr>
      <t xml:space="preserve">差距是按平方拉大的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无配音</t>
    </r>
    <r>
      <rPr>
        <sz val="10"/>
        <rFont val="Arial"/>
        <family val="0"/>
        <charset val="1"/>
      </rPr>
      <t xml:space="preserve">.mp4 / _AI</t>
    </r>
    <r>
      <rPr>
        <sz val="10"/>
        <rFont val="WenQuanYi Zen Hei"/>
        <family val="2"/>
      </rPr>
      <t xml:space="preserve">配音</t>
    </r>
    <r>
      <rPr>
        <sz val="10"/>
        <rFont val="Arial"/>
        <family val="0"/>
        <charset val="1"/>
      </rPr>
      <t xml:space="preserve">.mp4</t>
    </r>
  </si>
  <si>
    <t xml:space="preserve">G4</t>
  </si>
  <si>
    <r>
      <rPr>
        <sz val="10"/>
        <rFont val="WenQuanYi Zen Hei"/>
        <family val="2"/>
      </rPr>
      <t xml:space="preserve">某省一分一段表里的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分</t>
    </r>
  </si>
  <si>
    <r>
      <rPr>
        <sz val="10"/>
        <rFont val="WenQuanYi Zen Hei"/>
        <family val="2"/>
      </rPr>
      <t xml:space="preserve">真实一分一段表（需按目标省份提供数据）：</t>
    </r>
    <r>
      <rPr>
        <sz val="10"/>
        <rFont val="Arial"/>
        <family val="0"/>
        <charset val="1"/>
      </rPr>
      <t xml:space="preserve">600 </t>
    </r>
    <r>
      <rPr>
        <sz val="10"/>
        <rFont val="WenQuanYi Zen Hei"/>
        <family val="2"/>
      </rPr>
      <t xml:space="preserve">分附近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分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数百人</t>
    </r>
  </si>
  <si>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分，是一整个操场的人</t>
    </r>
  </si>
  <si>
    <t xml:space="preserve">G5</t>
  </si>
  <si>
    <t xml:space="preserve">你玩的寒假，别人在超车</t>
  </si>
  <si>
    <t xml:space="preserve">两条位置曲线：假期一人匀速、一人停滞，开学后的差距</t>
  </si>
  <si>
    <t xml:space="preserve">假期不是休息站，是超车道</t>
  </si>
  <si>
    <t xml:space="preserve">像素游戏</t>
  </si>
  <si>
    <r>
      <rPr>
        <sz val="10"/>
        <rFont val="Arial"/>
        <family val="0"/>
        <charset val="1"/>
      </rPr>
      <t xml:space="preserve">G5_</t>
    </r>
    <r>
      <rPr>
        <sz val="10"/>
        <rFont val="WenQuanYi Zen Hei"/>
        <family val="2"/>
      </rPr>
      <t xml:space="preserve">弯道超车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无配音</t>
    </r>
    <r>
      <rPr>
        <sz val="10"/>
        <rFont val="Arial"/>
        <family val="0"/>
        <charset val="1"/>
      </rPr>
      <t xml:space="preserve">.mp4 / _AI</t>
    </r>
    <r>
      <rPr>
        <sz val="10"/>
        <rFont val="WenQuanYi Zen Hei"/>
        <family val="2"/>
      </rPr>
      <t xml:space="preserve">配音</t>
    </r>
    <r>
      <rPr>
        <sz val="10"/>
        <rFont val="Arial"/>
        <family val="0"/>
        <charset val="1"/>
      </rPr>
      <t xml:space="preserve">.mp4</t>
    </r>
  </si>
  <si>
    <t xml:space="preserve">H1</t>
  </si>
  <si>
    <t xml:space="preserve">你的总分，被哪一科拖住了？</t>
  </si>
  <si>
    <r>
      <rPr>
        <sz val="10"/>
        <rFont val="WenQuanYi Zen Hei"/>
        <family val="2"/>
      </rPr>
      <t xml:space="preserve">木桶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真实总分模型（</t>
    </r>
    <r>
      <rPr>
        <sz val="10"/>
        <rFont val="Arial"/>
        <family val="0"/>
        <charset val="1"/>
      </rPr>
      <t xml:space="preserve">750 </t>
    </r>
    <r>
      <rPr>
        <sz val="10"/>
        <rFont val="WenQuanYi Zen Hei"/>
        <family val="2"/>
      </rPr>
      <t xml:space="preserve">分制）：</t>
    </r>
    <r>
      <rPr>
        <sz val="10"/>
        <rFont val="Arial"/>
        <family val="0"/>
        <charset val="1"/>
      </rPr>
      <t xml:space="preserve">5 </t>
    </r>
    <r>
      <rPr>
        <sz val="10"/>
        <rFont val="WenQuanYi Zen Hei"/>
        <family val="2"/>
      </rPr>
      <t xml:space="preserve">科 </t>
    </r>
    <r>
      <rPr>
        <sz val="10"/>
        <rFont val="Arial"/>
        <family val="0"/>
        <charset val="1"/>
      </rPr>
      <t xml:space="preserve">120+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科 </t>
    </r>
    <r>
      <rPr>
        <sz val="10"/>
        <rFont val="Arial"/>
        <family val="0"/>
        <charset val="1"/>
      </rPr>
      <t xml:space="preserve">70</t>
    </r>
    <r>
      <rPr>
        <sz val="10"/>
        <rFont val="WenQuanYi Zen Hei"/>
        <family val="2"/>
      </rPr>
      <t xml:space="preserve">，总分差多少名次</t>
    </r>
  </si>
  <si>
    <t xml:space="preserve">决定高度的，是最短的那块板</t>
  </si>
  <si>
    <t xml:space="preserve">复古报纸</t>
  </si>
  <si>
    <r>
      <rPr>
        <sz val="10"/>
        <rFont val="Arial"/>
        <family val="0"/>
        <charset val="1"/>
      </rPr>
      <t xml:space="preserve">H1_</t>
    </r>
    <r>
      <rPr>
        <sz val="10"/>
        <rFont val="WenQuanYi Zen Hei"/>
        <family val="2"/>
      </rPr>
      <t xml:space="preserve">你的总分被哪一科拖住了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无配音</t>
    </r>
    <r>
      <rPr>
        <sz val="10"/>
        <rFont val="Arial"/>
        <family val="0"/>
        <charset val="1"/>
      </rPr>
      <t xml:space="preserve">.mp4 / _AI</t>
    </r>
    <r>
      <rPr>
        <sz val="10"/>
        <rFont val="WenQuanYi Zen Hei"/>
        <family val="2"/>
      </rPr>
      <t xml:space="preserve">配音</t>
    </r>
    <r>
      <rPr>
        <sz val="10"/>
        <rFont val="Arial"/>
        <family val="0"/>
        <charset val="1"/>
      </rPr>
      <t xml:space="preserve">.mp4</t>
    </r>
  </si>
  <si>
    <t xml:space="preserve">H2</t>
  </si>
  <si>
    <r>
      <rPr>
        <sz val="10"/>
        <rFont val="WenQuanYi Zen Hei"/>
        <family val="2"/>
      </rPr>
      <t xml:space="preserve">从 </t>
    </r>
    <r>
      <rPr>
        <sz val="10"/>
        <rFont val="Arial"/>
        <family val="0"/>
        <charset val="1"/>
      </rPr>
      <t xml:space="preserve">70 </t>
    </r>
    <r>
      <rPr>
        <sz val="10"/>
        <rFont val="WenQuanYi Zen Hei"/>
        <family val="2"/>
      </rPr>
      <t xml:space="preserve">到 </t>
    </r>
    <r>
      <rPr>
        <sz val="10"/>
        <rFont val="Arial"/>
        <family val="0"/>
        <charset val="1"/>
      </rPr>
      <t xml:space="preserve">100</t>
    </r>
    <r>
      <rPr>
        <sz val="10"/>
        <rFont val="WenQuanYi Zen Hei"/>
        <family val="2"/>
      </rPr>
      <t xml:space="preserve">，比从 </t>
    </r>
    <r>
      <rPr>
        <sz val="10"/>
        <rFont val="Arial"/>
        <family val="0"/>
        <charset val="1"/>
      </rPr>
      <t xml:space="preserve">130 </t>
    </r>
    <r>
      <rPr>
        <sz val="10"/>
        <rFont val="WenQuanYi Zen Hei"/>
        <family val="2"/>
      </rPr>
      <t xml:space="preserve">到 </t>
    </r>
    <r>
      <rPr>
        <sz val="10"/>
        <rFont val="Arial"/>
        <family val="0"/>
        <charset val="1"/>
      </rPr>
      <t xml:space="preserve">145 </t>
    </r>
    <r>
      <rPr>
        <sz val="10"/>
        <rFont val="WenQuanYi Zen Hei"/>
        <family val="2"/>
      </rPr>
      <t xml:space="preserve">容易得多</t>
    </r>
  </si>
  <si>
    <t xml:space="preserve">提分边际曲线：低分段提分空间大、成本低</t>
  </si>
  <si>
    <t xml:space="preserve">补弱科，是性价比最高的提分</t>
  </si>
  <si>
    <r>
      <rPr>
        <sz val="10"/>
        <rFont val="Arial"/>
        <family val="0"/>
        <charset val="1"/>
      </rPr>
      <t xml:space="preserve">H2_</t>
    </r>
    <r>
      <rPr>
        <sz val="10"/>
        <rFont val="WenQuanYi Zen Hei"/>
        <family val="2"/>
      </rPr>
      <t xml:space="preserve">补弱科最划算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无配音</t>
    </r>
    <r>
      <rPr>
        <sz val="10"/>
        <rFont val="Arial"/>
        <family val="0"/>
        <charset val="1"/>
      </rPr>
      <t xml:space="preserve">.mp4 / _AI</t>
    </r>
    <r>
      <rPr>
        <sz val="10"/>
        <rFont val="WenQuanYi Zen Hei"/>
        <family val="2"/>
      </rPr>
      <t xml:space="preserve">配音</t>
    </r>
    <r>
      <rPr>
        <sz val="10"/>
        <rFont val="Arial"/>
        <family val="0"/>
        <charset val="1"/>
      </rPr>
      <t xml:space="preserve">.mp4</t>
    </r>
  </si>
  <si>
    <t xml:space="preserve">H3</t>
  </si>
  <si>
    <t xml:space="preserve">一条链子有多结实？</t>
  </si>
  <si>
    <r>
      <rPr>
        <sz val="10"/>
        <rFont val="WenQuanYi Zen Hei"/>
        <family val="2"/>
      </rPr>
      <t xml:space="preserve">链条强度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最弱的一环（拉力测试动画）</t>
    </r>
  </si>
  <si>
    <t xml:space="preserve">偏科的代价，高考会一次性结算</t>
  </si>
  <si>
    <t xml:space="preserve">H4</t>
  </si>
  <si>
    <r>
      <rPr>
        <sz val="10"/>
        <rFont val="WenQuanYi Zen Hei"/>
        <family val="2"/>
      </rPr>
      <t xml:space="preserve">串联电路里的</t>
    </r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最弱一环</t>
    </r>
    <r>
      <rPr>
        <sz val="10"/>
        <rFont val="Arial"/>
        <family val="0"/>
        <charset val="1"/>
      </rPr>
      <t xml:space="preserve">"</t>
    </r>
  </si>
  <si>
    <t xml:space="preserve">串联电路中一处断开，整条电路都不通</t>
  </si>
  <si>
    <t xml:space="preserve">一科崩盘，全盘被动</t>
  </si>
  <si>
    <t xml:space="preserve">I1</t>
  </si>
  <si>
    <t xml:space="preserve">一个寒假，其实有多少小时？</t>
  </si>
  <si>
    <r>
      <rPr>
        <sz val="10"/>
        <rFont val="WenQuanYi Zen Hei"/>
        <family val="2"/>
      </rPr>
      <t xml:space="preserve">寒假天数 </t>
    </r>
    <r>
      <rPr>
        <sz val="10"/>
        <rFont val="Arial"/>
        <family val="0"/>
        <charset val="1"/>
      </rPr>
      <t xml:space="preserve">× 24</t>
    </r>
    <r>
      <rPr>
        <sz val="10"/>
        <rFont val="WenQuanYi Zen Hei"/>
        <family val="2"/>
      </rPr>
      <t xml:space="preserve">，减去睡眠、春节、娱乐，剩下的可支配时间（估算，公式公开）</t>
    </r>
  </si>
  <si>
    <t xml:space="preserve">寒假不长，但足够拉开一个学期</t>
  </si>
  <si>
    <t xml:space="preserve">冬日雪景</t>
  </si>
  <si>
    <r>
      <rPr>
        <sz val="10"/>
        <rFont val="Arial"/>
        <family val="0"/>
        <charset val="1"/>
      </rPr>
      <t xml:space="preserve">I1_</t>
    </r>
    <r>
      <rPr>
        <sz val="10"/>
        <rFont val="WenQuanYi Zen Hei"/>
        <family val="2"/>
      </rPr>
      <t xml:space="preserve">一个寒假其实有多少小时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无配音</t>
    </r>
    <r>
      <rPr>
        <sz val="10"/>
        <rFont val="Arial"/>
        <family val="0"/>
        <charset val="1"/>
      </rPr>
      <t xml:space="preserve">.mp4 / _AI</t>
    </r>
    <r>
      <rPr>
        <sz val="10"/>
        <rFont val="WenQuanYi Zen Hei"/>
        <family val="2"/>
      </rPr>
      <t xml:space="preserve">配音</t>
    </r>
    <r>
      <rPr>
        <sz val="10"/>
        <rFont val="Arial"/>
        <family val="0"/>
        <charset val="1"/>
      </rPr>
      <t xml:space="preserve">.mp4</t>
    </r>
  </si>
  <si>
    <t xml:space="preserve">I2</t>
  </si>
  <si>
    <t xml:space="preserve">高一的地基</t>
  </si>
  <si>
    <r>
      <rPr>
        <sz val="10"/>
        <rFont val="WenQuanYi Zen Hei"/>
        <family val="2"/>
      </rPr>
      <t xml:space="preserve">人教 </t>
    </r>
    <r>
      <rPr>
        <sz val="10"/>
        <rFont val="Arial"/>
        <family val="0"/>
        <charset val="1"/>
      </rPr>
      <t xml:space="preserve">A </t>
    </r>
    <r>
      <rPr>
        <sz val="10"/>
        <rFont val="WenQuanYi Zen Hei"/>
        <family val="2"/>
      </rPr>
      <t xml:space="preserve">版（</t>
    </r>
    <r>
      <rPr>
        <sz val="10"/>
        <rFont val="Arial"/>
        <family val="0"/>
        <charset val="1"/>
      </rPr>
      <t xml:space="preserve">2019</t>
    </r>
    <r>
      <rPr>
        <sz val="10"/>
        <rFont val="WenQuanYi Zen Hei"/>
        <family val="2"/>
      </rPr>
      <t xml:space="preserve">）：必修一函数、指对、三角 → 选择性必修二数列、导数 → 高考函数与导数大题（依赖网络图）</t>
    </r>
  </si>
  <si>
    <t xml:space="preserve">高一不是适应期，是打地基的时候</t>
  </si>
  <si>
    <t xml:space="preserve">高一家长</t>
  </si>
  <si>
    <r>
      <rPr>
        <sz val="10"/>
        <rFont val="Arial"/>
        <family val="0"/>
        <charset val="1"/>
      </rPr>
      <t xml:space="preserve">I2_</t>
    </r>
    <r>
      <rPr>
        <sz val="10"/>
        <rFont val="WenQuanYi Zen Hei"/>
        <family val="2"/>
      </rPr>
      <t xml:space="preserve">高一的地基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无配音</t>
    </r>
    <r>
      <rPr>
        <sz val="10"/>
        <rFont val="Arial"/>
        <family val="0"/>
        <charset val="1"/>
      </rPr>
      <t xml:space="preserve">.mp4 / _AI</t>
    </r>
    <r>
      <rPr>
        <sz val="10"/>
        <rFont val="WenQuanYi Zen Hei"/>
        <family val="2"/>
      </rPr>
      <t xml:space="preserve">配音</t>
    </r>
    <r>
      <rPr>
        <sz val="10"/>
        <rFont val="Arial"/>
        <family val="0"/>
        <charset val="1"/>
      </rPr>
      <t xml:space="preserve">.mp4</t>
    </r>
  </si>
  <si>
    <t xml:space="preserve">I3</t>
  </si>
  <si>
    <t xml:space="preserve">弯道超车</t>
  </si>
  <si>
    <t xml:space="preserve">赛车在直道拉不开差距，在弯道才能拉开（速度曲线动画）</t>
  </si>
  <si>
    <t xml:space="preserve">节假日就是弯道</t>
  </si>
  <si>
    <t xml:space="preserve">I4</t>
  </si>
  <si>
    <t xml:space="preserve">百日倒计时</t>
  </si>
  <si>
    <r>
      <rPr>
        <sz val="10"/>
        <rFont val="Arial"/>
        <family val="0"/>
        <charset val="1"/>
      </rPr>
      <t xml:space="preserve">2027.2.27 → 6.7 </t>
    </r>
    <r>
      <rPr>
        <sz val="10"/>
        <rFont val="WenQuanYi Zen Hei"/>
        <family val="2"/>
      </rPr>
      <t xml:space="preserve">正好 </t>
    </r>
    <r>
      <rPr>
        <sz val="10"/>
        <rFont val="Arial"/>
        <family val="0"/>
        <charset val="1"/>
      </rPr>
      <t xml:space="preserve">100 </t>
    </r>
    <r>
      <rPr>
        <sz val="10"/>
        <rFont val="WenQuanYi Zen Hei"/>
        <family val="2"/>
      </rPr>
      <t xml:space="preserve">天，</t>
    </r>
    <r>
      <rPr>
        <sz val="10"/>
        <rFont val="Arial"/>
        <family val="0"/>
        <charset val="1"/>
      </rPr>
      <t xml:space="preserve">100 </t>
    </r>
    <r>
      <rPr>
        <sz val="10"/>
        <rFont val="WenQuanYi Zen Hei"/>
        <family val="2"/>
      </rPr>
      <t xml:space="preserve">个格子逐一点亮</t>
    </r>
  </si>
  <si>
    <r>
      <rPr>
        <sz val="10"/>
        <rFont val="WenQuanYi Zen Hei"/>
        <family val="2"/>
      </rPr>
      <t xml:space="preserve">最后 </t>
    </r>
    <r>
      <rPr>
        <sz val="10"/>
        <rFont val="Arial"/>
        <family val="0"/>
        <charset val="1"/>
      </rPr>
      <t xml:space="preserve">100 </t>
    </r>
    <r>
      <rPr>
        <sz val="10"/>
        <rFont val="WenQuanYi Zen Hei"/>
        <family val="2"/>
      </rPr>
      <t xml:space="preserve">天，每一天都算数</t>
    </r>
  </si>
  <si>
    <t xml:space="preserve">高三</t>
  </si>
  <si>
    <r>
      <rPr>
        <sz val="10"/>
        <rFont val="Arial"/>
        <family val="0"/>
        <charset val="1"/>
      </rPr>
      <t xml:space="preserve">I4_</t>
    </r>
    <r>
      <rPr>
        <sz val="10"/>
        <rFont val="WenQuanYi Zen Hei"/>
        <family val="2"/>
      </rPr>
      <t xml:space="preserve">最后</t>
    </r>
    <r>
      <rPr>
        <sz val="10"/>
        <rFont val="Arial"/>
        <family val="0"/>
        <charset val="1"/>
      </rPr>
      <t xml:space="preserve">100</t>
    </r>
    <r>
      <rPr>
        <sz val="10"/>
        <rFont val="WenQuanYi Zen Hei"/>
        <family val="2"/>
      </rPr>
      <t xml:space="preserve">天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无配音</t>
    </r>
    <r>
      <rPr>
        <sz val="10"/>
        <rFont val="Arial"/>
        <family val="0"/>
        <charset val="1"/>
      </rPr>
      <t xml:space="preserve">.mp4 / _AI</t>
    </r>
    <r>
      <rPr>
        <sz val="10"/>
        <rFont val="WenQuanYi Zen Hei"/>
        <family val="2"/>
      </rPr>
      <t xml:space="preserve">配音</t>
    </r>
    <r>
      <rPr>
        <sz val="10"/>
        <rFont val="Arial"/>
        <family val="0"/>
        <charset val="1"/>
      </rPr>
      <t xml:space="preserve">.mp4</t>
    </r>
  </si>
  <si>
    <t xml:space="preserve">I5</t>
  </si>
  <si>
    <t xml:space="preserve">播种的季节</t>
  </si>
  <si>
    <r>
      <rPr>
        <sz val="10"/>
        <rFont val="WenQuanYi Zen Hei"/>
        <family val="2"/>
      </rPr>
      <t xml:space="preserve">二十四节气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农时：错过播种期，秋天就没有收获</t>
    </r>
  </si>
  <si>
    <t xml:space="preserve">每个阶段，都有它该做的事</t>
  </si>
  <si>
    <t xml:space="preserve">I6</t>
  </si>
  <si>
    <t xml:space="preserve">开学前，先把生物钟拨回来</t>
  </si>
  <si>
    <r>
      <rPr>
        <sz val="10"/>
        <rFont val="WenQuanYi Zen Hei"/>
        <family val="2"/>
      </rPr>
      <t xml:space="preserve">寒假与上学作息差 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小时；倒时差经验每天约调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小时 → 至少提前 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天开始</t>
    </r>
  </si>
  <si>
    <t xml:space="preserve">先把生物钟，拨回开学模式</t>
  </si>
  <si>
    <t xml:space="preserve">晨光</t>
  </si>
  <si>
    <r>
      <rPr>
        <sz val="10"/>
        <rFont val="Arial"/>
        <family val="0"/>
        <charset val="1"/>
      </rPr>
      <t xml:space="preserve">I6_</t>
    </r>
    <r>
      <rPr>
        <sz val="10"/>
        <rFont val="WenQuanYi Zen Hei"/>
        <family val="2"/>
      </rPr>
      <t xml:space="preserve">开学前先把生物钟拨回来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无配音</t>
    </r>
    <r>
      <rPr>
        <sz val="10"/>
        <rFont val="Arial"/>
        <family val="0"/>
        <charset val="1"/>
      </rPr>
      <t xml:space="preserve">.mp4 / _AI</t>
    </r>
    <r>
      <rPr>
        <sz val="10"/>
        <rFont val="WenQuanYi Zen Hei"/>
        <family val="2"/>
      </rPr>
      <t xml:space="preserve">配音</t>
    </r>
    <r>
      <rPr>
        <sz val="10"/>
        <rFont val="Arial"/>
        <family val="0"/>
        <charset val="1"/>
      </rPr>
      <t xml:space="preserve">.mp4</t>
    </r>
  </si>
  <si>
    <t xml:space="preserve">I7</t>
  </si>
  <si>
    <r>
      <rPr>
        <sz val="10"/>
        <rFont val="WenQuanYi Zen Hei"/>
        <family val="2"/>
      </rPr>
      <t xml:space="preserve">新学期，其实只有 </t>
    </r>
    <r>
      <rPr>
        <sz val="10"/>
        <rFont val="Arial"/>
        <family val="0"/>
        <charset val="1"/>
      </rPr>
      <t xml:space="preserve">18 </t>
    </r>
    <r>
      <rPr>
        <sz val="10"/>
        <rFont val="WenQuanYi Zen Hei"/>
        <family val="2"/>
      </rPr>
      <t xml:space="preserve">周</t>
    </r>
  </si>
  <si>
    <r>
      <rPr>
        <sz val="10"/>
        <rFont val="Arial"/>
        <family val="0"/>
        <charset val="1"/>
      </rPr>
      <t xml:space="preserve">18 </t>
    </r>
    <r>
      <rPr>
        <sz val="10"/>
        <rFont val="WenQuanYi Zen Hei"/>
        <family val="2"/>
      </rPr>
      <t xml:space="preserve">周 </t>
    </r>
    <r>
      <rPr>
        <sz val="10"/>
        <rFont val="Arial"/>
        <family val="0"/>
        <charset val="1"/>
      </rPr>
      <t xml:space="preserve">× 5 </t>
    </r>
    <r>
      <rPr>
        <sz val="10"/>
        <rFont val="WenQuanYi Zen Hei"/>
        <family val="2"/>
      </rPr>
      <t xml:space="preserve">天 </t>
    </r>
    <r>
      <rPr>
        <sz val="10"/>
        <rFont val="Arial"/>
        <family val="0"/>
        <charset val="1"/>
      </rPr>
      <t xml:space="preserve">= 90 </t>
    </r>
    <r>
      <rPr>
        <sz val="10"/>
        <rFont val="WenQuanYi Zen Hei"/>
        <family val="2"/>
      </rPr>
      <t xml:space="preserve">天课；第 </t>
    </r>
    <r>
      <rPr>
        <sz val="10"/>
        <rFont val="Arial"/>
        <family val="0"/>
        <charset val="1"/>
      </rPr>
      <t xml:space="preserve">9 </t>
    </r>
    <r>
      <rPr>
        <sz val="10"/>
        <rFont val="WenQuanYi Zen Hei"/>
        <family val="2"/>
      </rPr>
      <t xml:space="preserve">周期中；晚 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周进入状态就少 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周</t>
    </r>
  </si>
  <si>
    <t xml:space="preserve">新学期，从第一周开始算数</t>
  </si>
  <si>
    <r>
      <rPr>
        <sz val="10"/>
        <rFont val="Arial"/>
        <family val="0"/>
        <charset val="1"/>
      </rPr>
      <t xml:space="preserve">I7_</t>
    </r>
    <r>
      <rPr>
        <sz val="10"/>
        <rFont val="WenQuanYi Zen Hei"/>
        <family val="2"/>
      </rPr>
      <t xml:space="preserve">新学期其实只有</t>
    </r>
    <r>
      <rPr>
        <sz val="10"/>
        <rFont val="Arial"/>
        <family val="0"/>
        <charset val="1"/>
      </rPr>
      <t xml:space="preserve">18</t>
    </r>
    <r>
      <rPr>
        <sz val="10"/>
        <rFont val="WenQuanYi Zen Hei"/>
        <family val="2"/>
      </rPr>
      <t xml:space="preserve">周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无配音</t>
    </r>
    <r>
      <rPr>
        <sz val="10"/>
        <rFont val="Arial"/>
        <family val="0"/>
        <charset val="1"/>
      </rPr>
      <t xml:space="preserve">.mp4 / _AI</t>
    </r>
    <r>
      <rPr>
        <sz val="10"/>
        <rFont val="WenQuanYi Zen Hei"/>
        <family val="2"/>
      </rPr>
      <t xml:space="preserve">配音</t>
    </r>
    <r>
      <rPr>
        <sz val="10"/>
        <rFont val="Arial"/>
        <family val="0"/>
        <charset val="1"/>
      </rPr>
      <t xml:space="preserve">.mp4</t>
    </r>
  </si>
  <si>
    <t xml:space="preserve">I8</t>
  </si>
  <si>
    <r>
      <rPr>
        <sz val="10"/>
        <rFont val="WenQuanYi Zen Hei"/>
        <family val="2"/>
      </rPr>
      <t xml:space="preserve">期中之后，还有 </t>
    </r>
    <r>
      <rPr>
        <sz val="10"/>
        <rFont val="Arial"/>
        <family val="0"/>
        <charset val="1"/>
      </rPr>
      <t xml:space="preserve">9 </t>
    </r>
    <r>
      <rPr>
        <sz val="10"/>
        <rFont val="WenQuanYi Zen Hei"/>
        <family val="2"/>
      </rPr>
      <t xml:space="preserve">周</t>
    </r>
  </si>
  <si>
    <r>
      <rPr>
        <sz val="10"/>
        <rFont val="Arial"/>
        <family val="0"/>
        <charset val="1"/>
      </rPr>
      <t xml:space="preserve">18 </t>
    </r>
    <r>
      <rPr>
        <sz val="10"/>
        <rFont val="WenQuanYi Zen Hei"/>
        <family val="2"/>
      </rPr>
      <t xml:space="preserve">周学期、第 </t>
    </r>
    <r>
      <rPr>
        <sz val="10"/>
        <rFont val="Arial"/>
        <family val="0"/>
        <charset val="1"/>
      </rPr>
      <t xml:space="preserve">9 </t>
    </r>
    <r>
      <rPr>
        <sz val="10"/>
        <rFont val="WenQuanYi Zen Hei"/>
        <family val="2"/>
      </rPr>
      <t xml:space="preserve">周期中，后面还有 </t>
    </r>
    <r>
      <rPr>
        <sz val="10"/>
        <rFont val="Arial"/>
        <family val="0"/>
        <charset val="1"/>
      </rPr>
      <t xml:space="preserve">9 </t>
    </r>
    <r>
      <rPr>
        <sz val="10"/>
        <rFont val="WenQuanYi Zen Hei"/>
        <family val="2"/>
      </rPr>
      <t xml:space="preserve">周；错题分三类：不会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粗心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没时间</t>
    </r>
  </si>
  <si>
    <t xml:space="preserve">期中是半场，下半场才定输赢</t>
  </si>
  <si>
    <r>
      <rPr>
        <sz val="10"/>
        <rFont val="Arial"/>
        <family val="0"/>
        <charset val="1"/>
      </rPr>
      <t xml:space="preserve">I8_</t>
    </r>
    <r>
      <rPr>
        <sz val="10"/>
        <rFont val="WenQuanYi Zen Hei"/>
        <family val="2"/>
      </rPr>
      <t xml:space="preserve">期中之后还有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周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无配音</t>
    </r>
    <r>
      <rPr>
        <sz val="10"/>
        <rFont val="Arial"/>
        <family val="0"/>
        <charset val="1"/>
      </rPr>
      <t xml:space="preserve">.mp4 / _AI</t>
    </r>
    <r>
      <rPr>
        <sz val="10"/>
        <rFont val="WenQuanYi Zen Hei"/>
        <family val="2"/>
      </rPr>
      <t xml:space="preserve">配音</t>
    </r>
    <r>
      <rPr>
        <sz val="10"/>
        <rFont val="Arial"/>
        <family val="0"/>
        <charset val="1"/>
      </rPr>
      <t xml:space="preserve">.mp4</t>
    </r>
  </si>
  <si>
    <t xml:space="preserve">J1</t>
  </si>
  <si>
    <t xml:space="preserve">截距是起点，斜率是成长</t>
  </si>
  <si>
    <r>
      <rPr>
        <sz val="10"/>
        <rFont val="WenQuanYi Zen Hei"/>
        <family val="2"/>
      </rPr>
      <t xml:space="preserve">一次函数 </t>
    </r>
    <r>
      <rPr>
        <sz val="10"/>
        <rFont val="Arial"/>
        <family val="0"/>
        <charset val="1"/>
      </rPr>
      <t xml:space="preserve">y = kx + b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b </t>
    </r>
    <r>
      <rPr>
        <sz val="10"/>
        <rFont val="WenQuanYi Zen Hei"/>
        <family val="2"/>
      </rPr>
      <t xml:space="preserve">小但 </t>
    </r>
    <r>
      <rPr>
        <sz val="10"/>
        <rFont val="Arial"/>
        <family val="0"/>
        <charset val="1"/>
      </rPr>
      <t xml:space="preserve">k </t>
    </r>
    <r>
      <rPr>
        <sz val="10"/>
        <rFont val="WenQuanYi Zen Hei"/>
        <family val="2"/>
      </rPr>
      <t xml:space="preserve">大的直线，一定会超过 </t>
    </r>
    <r>
      <rPr>
        <sz val="10"/>
        <rFont val="Arial"/>
        <family val="0"/>
        <charset val="1"/>
      </rPr>
      <t xml:space="preserve">b </t>
    </r>
    <r>
      <rPr>
        <sz val="10"/>
        <rFont val="WenQuanYi Zen Hei"/>
        <family val="2"/>
      </rPr>
      <t xml:space="preserve">大 </t>
    </r>
    <r>
      <rPr>
        <sz val="10"/>
        <rFont val="Arial"/>
        <family val="0"/>
        <charset val="1"/>
      </rPr>
      <t xml:space="preserve">k </t>
    </r>
    <r>
      <rPr>
        <sz val="10"/>
        <rFont val="WenQuanYi Zen Hei"/>
        <family val="2"/>
      </rPr>
      <t xml:space="preserve">小的那条（交点动画）</t>
    </r>
  </si>
  <si>
    <t xml:space="preserve">起点不决定终点，速度才决定</t>
  </si>
  <si>
    <r>
      <rPr>
        <sz val="10"/>
        <rFont val="WenQuanYi Zen Hei"/>
        <family val="2"/>
      </rPr>
      <t xml:space="preserve">中下生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家长</t>
    </r>
  </si>
  <si>
    <r>
      <rPr>
        <sz val="10"/>
        <rFont val="Arial"/>
        <family val="0"/>
        <charset val="1"/>
      </rPr>
      <t xml:space="preserve">J1_</t>
    </r>
    <r>
      <rPr>
        <sz val="10"/>
        <rFont val="WenQuanYi Zen Hei"/>
        <family val="2"/>
      </rPr>
      <t xml:space="preserve">截距是起点斜率是成长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无配音</t>
    </r>
    <r>
      <rPr>
        <sz val="10"/>
        <rFont val="Arial"/>
        <family val="0"/>
        <charset val="1"/>
      </rPr>
      <t xml:space="preserve">.mp4 / _AI</t>
    </r>
    <r>
      <rPr>
        <sz val="10"/>
        <rFont val="WenQuanYi Zen Hei"/>
        <family val="2"/>
      </rPr>
      <t xml:space="preserve">配音</t>
    </r>
    <r>
      <rPr>
        <sz val="10"/>
        <rFont val="Arial"/>
        <family val="0"/>
        <charset val="1"/>
      </rPr>
      <t xml:space="preserve">.mp4</t>
    </r>
  </si>
  <si>
    <t xml:space="preserve">J2</t>
  </si>
  <si>
    <t xml:space="preserve">过山车在最低点，速度最快</t>
  </si>
  <si>
    <r>
      <rPr>
        <sz val="10"/>
        <rFont val="WenQuanYi Zen Hei"/>
        <family val="2"/>
      </rPr>
      <t xml:space="preserve">机械能守恒 </t>
    </r>
    <r>
      <rPr>
        <sz val="10"/>
        <rFont val="Arial"/>
        <family val="0"/>
        <charset val="1"/>
      </rPr>
      <t xml:space="preserve">v = √(2gh)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40 </t>
    </r>
    <r>
      <rPr>
        <sz val="10"/>
        <rFont val="WenQuanYi Zen Hei"/>
        <family val="2"/>
      </rPr>
      <t xml:space="preserve">米由静止滑下，最低点约 </t>
    </r>
    <r>
      <rPr>
        <sz val="10"/>
        <rFont val="Arial"/>
        <family val="0"/>
        <charset val="1"/>
      </rPr>
      <t xml:space="preserve">100 km/h</t>
    </r>
    <r>
      <rPr>
        <sz val="10"/>
        <rFont val="WenQuanYi Zen Hei"/>
        <family val="2"/>
      </rPr>
      <t xml:space="preserve">（忽略摩擦）</t>
    </r>
  </si>
  <si>
    <t xml:space="preserve">期中考的落差，会变成你冲上去的速度</t>
  </si>
  <si>
    <t xml:space="preserve">水彩</t>
  </si>
  <si>
    <r>
      <rPr>
        <sz val="10"/>
        <rFont val="Arial"/>
        <family val="0"/>
        <charset val="1"/>
      </rPr>
      <t xml:space="preserve">J2_</t>
    </r>
    <r>
      <rPr>
        <sz val="10"/>
        <rFont val="WenQuanYi Zen Hei"/>
        <family val="2"/>
      </rPr>
      <t xml:space="preserve">过山车在最低点速度最快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无配音</t>
    </r>
    <r>
      <rPr>
        <sz val="10"/>
        <rFont val="Arial"/>
        <family val="0"/>
        <charset val="1"/>
      </rPr>
      <t xml:space="preserve">.mp4 / _AI</t>
    </r>
    <r>
      <rPr>
        <sz val="10"/>
        <rFont val="WenQuanYi Zen Hei"/>
        <family val="2"/>
      </rPr>
      <t xml:space="preserve">配音</t>
    </r>
    <r>
      <rPr>
        <sz val="10"/>
        <rFont val="Arial"/>
        <family val="0"/>
        <charset val="1"/>
      </rPr>
      <t xml:space="preserve">.mp4</t>
    </r>
  </si>
  <si>
    <t xml:space="preserve">J3</t>
  </si>
  <si>
    <t xml:space="preserve">弹簧压得越深，弹得越高</t>
  </si>
  <si>
    <r>
      <rPr>
        <sz val="10"/>
        <rFont val="WenQuanYi Zen Hei"/>
        <family val="2"/>
      </rPr>
      <t xml:space="preserve">弹性势能 </t>
    </r>
    <r>
      <rPr>
        <sz val="10"/>
        <rFont val="Arial"/>
        <family val="0"/>
        <charset val="1"/>
      </rPr>
      <t xml:space="preserve">E = ½kx²</t>
    </r>
    <r>
      <rPr>
        <sz val="10"/>
        <rFont val="WenQuanYi Zen Hei"/>
        <family val="2"/>
      </rPr>
      <t xml:space="preserve">：压缩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倍，能量 </t>
    </r>
    <r>
      <rPr>
        <sz val="10"/>
        <rFont val="Arial"/>
        <family val="0"/>
        <charset val="1"/>
      </rPr>
      <t xml:space="preserve">4 </t>
    </r>
    <r>
      <rPr>
        <sz val="10"/>
        <rFont val="WenQuanYi Zen Hei"/>
        <family val="2"/>
      </rPr>
      <t xml:space="preserve">倍</t>
    </r>
  </si>
  <si>
    <t xml:space="preserve">现在的压力，都会变成反弹的力量</t>
  </si>
  <si>
    <r>
      <rPr>
        <sz val="10"/>
        <rFont val="Arial"/>
        <family val="0"/>
        <charset val="1"/>
      </rPr>
      <t xml:space="preserve">J3_</t>
    </r>
    <r>
      <rPr>
        <sz val="10"/>
        <rFont val="WenQuanYi Zen Hei"/>
        <family val="2"/>
      </rPr>
      <t xml:space="preserve">寒假是压弹簧的时候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无配音</t>
    </r>
    <r>
      <rPr>
        <sz val="10"/>
        <rFont val="Arial"/>
        <family val="0"/>
        <charset val="1"/>
      </rPr>
      <t xml:space="preserve">.mp4 / _AI</t>
    </r>
    <r>
      <rPr>
        <sz val="10"/>
        <rFont val="WenQuanYi Zen Hei"/>
        <family val="2"/>
      </rPr>
      <t xml:space="preserve">配音</t>
    </r>
    <r>
      <rPr>
        <sz val="10"/>
        <rFont val="Arial"/>
        <family val="0"/>
        <charset val="1"/>
      </rPr>
      <t xml:space="preserve">.mp4</t>
    </r>
  </si>
  <si>
    <t xml:space="preserve">J4</t>
  </si>
  <si>
    <r>
      <rPr>
        <sz val="10"/>
        <rFont val="WenQuanYi Zen Hei"/>
        <family val="2"/>
      </rPr>
      <t xml:space="preserve">他们也从 </t>
    </r>
    <r>
      <rPr>
        <sz val="10"/>
        <rFont val="Arial"/>
        <family val="0"/>
        <charset val="1"/>
      </rPr>
      <t xml:space="preserve">80 </t>
    </r>
    <r>
      <rPr>
        <sz val="10"/>
        <rFont val="WenQuanYi Zen Hei"/>
        <family val="2"/>
      </rPr>
      <t xml:space="preserve">分开始</t>
    </r>
  </si>
  <si>
    <r>
      <rPr>
        <sz val="10"/>
        <rFont val="WenQuanYi Zen Hei"/>
        <family val="2"/>
      </rPr>
      <t xml:space="preserve">用真实学员提分数据（需提供）：提分轨迹折线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人数点阵</t>
    </r>
  </si>
  <si>
    <t xml:space="preserve">你不是第一个，也不会是最后一个</t>
  </si>
  <si>
    <t xml:space="preserve">J5</t>
  </si>
  <si>
    <t xml:space="preserve">每个高手，都从摔倒开始</t>
  </si>
  <si>
    <r>
      <rPr>
        <sz val="10"/>
        <rFont val="Arial"/>
        <family val="0"/>
        <charset val="1"/>
      </rPr>
      <t xml:space="preserve">Adolph </t>
    </r>
    <r>
      <rPr>
        <sz val="10"/>
        <rFont val="WenQuanYi Zen Hei"/>
        <family val="2"/>
      </rPr>
      <t xml:space="preserve">等（</t>
    </r>
    <r>
      <rPr>
        <sz val="10"/>
        <rFont val="Arial"/>
        <family val="0"/>
        <charset val="1"/>
      </rPr>
      <t xml:space="preserve">2012</t>
    </r>
    <r>
      <rPr>
        <sz val="10"/>
        <rFont val="WenQuanYi Zen Hei"/>
        <family val="2"/>
      </rPr>
      <t xml:space="preserve">）：</t>
    </r>
    <r>
      <rPr>
        <sz val="10"/>
        <rFont val="Arial"/>
        <family val="0"/>
        <charset val="1"/>
      </rPr>
      <t xml:space="preserve">12–19 </t>
    </r>
    <r>
      <rPr>
        <sz val="10"/>
        <rFont val="WenQuanYi Zen Hei"/>
        <family val="2"/>
      </rPr>
      <t xml:space="preserve">个月婴儿自由活动平均每小时走 </t>
    </r>
    <r>
      <rPr>
        <sz val="10"/>
        <rFont val="Arial"/>
        <family val="0"/>
        <charset val="1"/>
      </rPr>
      <t xml:space="preserve">2,368 </t>
    </r>
    <r>
      <rPr>
        <sz val="10"/>
        <rFont val="WenQuanYi Zen Hei"/>
        <family val="2"/>
      </rPr>
      <t xml:space="preserve">步、摔倒 </t>
    </r>
    <r>
      <rPr>
        <sz val="10"/>
        <rFont val="Arial"/>
        <family val="0"/>
        <charset val="1"/>
      </rPr>
      <t xml:space="preserve">17 </t>
    </r>
    <r>
      <rPr>
        <sz val="10"/>
        <rFont val="WenQuanYi Zen Hei"/>
        <family val="2"/>
      </rPr>
      <t xml:space="preserve">次</t>
    </r>
  </si>
  <si>
    <t xml:space="preserve">摔倒了，就再站起来</t>
  </si>
  <si>
    <r>
      <rPr>
        <sz val="10"/>
        <rFont val="Arial"/>
        <family val="0"/>
        <charset val="1"/>
      </rPr>
      <t xml:space="preserve">J5_</t>
    </r>
    <r>
      <rPr>
        <sz val="10"/>
        <rFont val="WenQuanYi Zen Hei"/>
        <family val="2"/>
      </rPr>
      <t xml:space="preserve">每个高手都从摔倒开始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无配音</t>
    </r>
    <r>
      <rPr>
        <sz val="10"/>
        <rFont val="Arial"/>
        <family val="0"/>
        <charset val="1"/>
      </rPr>
      <t xml:space="preserve">.mp4 / _AI</t>
    </r>
    <r>
      <rPr>
        <sz val="10"/>
        <rFont val="WenQuanYi Zen Hei"/>
        <family val="2"/>
      </rPr>
      <t xml:space="preserve">配音</t>
    </r>
    <r>
      <rPr>
        <sz val="10"/>
        <rFont val="Arial"/>
        <family val="0"/>
        <charset val="1"/>
      </rPr>
      <t xml:space="preserve">.mp4</t>
    </r>
  </si>
  <si>
    <t xml:space="preserve">K1</t>
  </si>
  <si>
    <t xml:space="preserve">孩子还能在家吃几顿晚饭？</t>
  </si>
  <si>
    <r>
      <rPr>
        <sz val="10"/>
        <rFont val="WenQuanYi Zen Hei"/>
        <family val="2"/>
      </rPr>
      <t xml:space="preserve">按公开假设计算：高中每周在家的晚饭次数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剩余周数，对比大学后每年寒暑假的天数，用格子可视化</t>
    </r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剩下的陪伴</t>
    </r>
    <r>
      <rPr>
        <sz val="10"/>
        <rFont val="Arial"/>
        <family val="0"/>
        <charset val="1"/>
      </rPr>
      <t xml:space="preserve">"</t>
    </r>
  </si>
  <si>
    <t xml:space="preserve">高中三年，可能是你们最后一段朝夕相处的日子</t>
  </si>
  <si>
    <t xml:space="preserve">暖色温情</t>
  </si>
  <si>
    <r>
      <rPr>
        <sz val="10"/>
        <rFont val="Arial"/>
        <family val="0"/>
        <charset val="1"/>
      </rPr>
      <t xml:space="preserve">K1_</t>
    </r>
    <r>
      <rPr>
        <sz val="10"/>
        <rFont val="WenQuanYi Zen Hei"/>
        <family val="2"/>
      </rPr>
      <t xml:space="preserve">孩子还能在家吃几顿晚饭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无配音</t>
    </r>
    <r>
      <rPr>
        <sz val="10"/>
        <rFont val="Arial"/>
        <family val="0"/>
        <charset val="1"/>
      </rPr>
      <t xml:space="preserve">.mp4 / _AI</t>
    </r>
    <r>
      <rPr>
        <sz val="10"/>
        <rFont val="WenQuanYi Zen Hei"/>
        <family val="2"/>
      </rPr>
      <t xml:space="preserve">配音</t>
    </r>
    <r>
      <rPr>
        <sz val="10"/>
        <rFont val="Arial"/>
        <family val="0"/>
        <charset val="1"/>
      </rPr>
      <t xml:space="preserve">.mp4</t>
    </r>
  </si>
  <si>
    <t xml:space="preserve">K2</t>
  </si>
  <si>
    <t xml:space="preserve">作用力与反作用力</t>
  </si>
  <si>
    <t xml:space="preserve">牛顿第三定律：你给孩子多大的压力，孩子就回给你多大的力</t>
  </si>
  <si>
    <t xml:space="preserve">推得越用力，顶得越厉害</t>
  </si>
  <si>
    <r>
      <rPr>
        <sz val="10"/>
        <rFont val="Arial"/>
        <family val="0"/>
        <charset val="1"/>
      </rPr>
      <t xml:space="preserve">K2_</t>
    </r>
    <r>
      <rPr>
        <sz val="10"/>
        <rFont val="WenQuanYi Zen Hei"/>
        <family val="2"/>
      </rPr>
      <t xml:space="preserve">寒假在家为什么越催越顶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无配音</t>
    </r>
    <r>
      <rPr>
        <sz val="10"/>
        <rFont val="Arial"/>
        <family val="0"/>
        <charset val="1"/>
      </rPr>
      <t xml:space="preserve">.mp4 / _AI</t>
    </r>
    <r>
      <rPr>
        <sz val="10"/>
        <rFont val="WenQuanYi Zen Hei"/>
        <family val="2"/>
      </rPr>
      <t xml:space="preserve">配音</t>
    </r>
    <r>
      <rPr>
        <sz val="10"/>
        <rFont val="Arial"/>
        <family val="0"/>
        <charset val="1"/>
      </rPr>
      <t xml:space="preserve">.mp4</t>
    </r>
  </si>
  <si>
    <t xml:space="preserve">K3</t>
  </si>
  <si>
    <t xml:space="preserve">共振：同频才能放大</t>
  </si>
  <si>
    <r>
      <rPr>
        <sz val="10"/>
        <rFont val="WenQuanYi Zen Hei"/>
        <family val="2"/>
      </rPr>
      <t xml:space="preserve">外力频率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固有频率时振幅最大（共振曲线）</t>
    </r>
  </si>
  <si>
    <t xml:space="preserve">支持要和孩子同频，才有用</t>
  </si>
  <si>
    <r>
      <rPr>
        <sz val="10"/>
        <rFont val="Arial"/>
        <family val="0"/>
        <charset val="1"/>
      </rPr>
      <t xml:space="preserve">K3_</t>
    </r>
    <r>
      <rPr>
        <sz val="10"/>
        <rFont val="WenQuanYi Zen Hei"/>
        <family val="2"/>
      </rPr>
      <t xml:space="preserve">同频才能放大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无配音</t>
    </r>
    <r>
      <rPr>
        <sz val="10"/>
        <rFont val="Arial"/>
        <family val="0"/>
        <charset val="1"/>
      </rPr>
      <t xml:space="preserve">.mp4 / _AI</t>
    </r>
    <r>
      <rPr>
        <sz val="10"/>
        <rFont val="WenQuanYi Zen Hei"/>
        <family val="2"/>
      </rPr>
      <t xml:space="preserve">配音</t>
    </r>
    <r>
      <rPr>
        <sz val="10"/>
        <rFont val="Arial"/>
        <family val="0"/>
        <charset val="1"/>
      </rPr>
      <t xml:space="preserve">.mp4</t>
    </r>
  </si>
  <si>
    <t xml:space="preserve">K4</t>
  </si>
  <si>
    <t xml:space="preserve">别把孩子的弹簧拉坏了</t>
  </si>
  <si>
    <r>
      <rPr>
        <sz val="10"/>
        <rFont val="WenQuanYi Zen Hei"/>
        <family val="2"/>
      </rPr>
      <t xml:space="preserve">胡克定律 </t>
    </r>
    <r>
      <rPr>
        <sz val="10"/>
        <rFont val="Arial"/>
        <family val="0"/>
        <charset val="1"/>
      </rPr>
      <t xml:space="preserve">F = kx</t>
    </r>
    <r>
      <rPr>
        <sz val="10"/>
        <rFont val="WenQuanYi Zen Hei"/>
        <family val="2"/>
      </rPr>
      <t xml:space="preserve">（弹性限度内）；超过弹性限度发生塑性形变，撤去外力回不到原长</t>
    </r>
  </si>
  <si>
    <t xml:space="preserve">给压力，也要给孩子留弹性</t>
  </si>
  <si>
    <r>
      <rPr>
        <sz val="10"/>
        <rFont val="Arial"/>
        <family val="0"/>
        <charset val="1"/>
      </rPr>
      <t xml:space="preserve">K4_</t>
    </r>
    <r>
      <rPr>
        <sz val="10"/>
        <rFont val="WenQuanYi Zen Hei"/>
        <family val="2"/>
      </rPr>
      <t xml:space="preserve">别把孩子的弹簧拉坏了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无配音</t>
    </r>
    <r>
      <rPr>
        <sz val="10"/>
        <rFont val="Arial"/>
        <family val="0"/>
        <charset val="1"/>
      </rPr>
      <t xml:space="preserve">.mp4 / _AI</t>
    </r>
    <r>
      <rPr>
        <sz val="10"/>
        <rFont val="WenQuanYi Zen Hei"/>
        <family val="2"/>
      </rPr>
      <t xml:space="preserve">配音</t>
    </r>
    <r>
      <rPr>
        <sz val="10"/>
        <rFont val="Arial"/>
        <family val="0"/>
        <charset val="1"/>
      </rPr>
      <t xml:space="preserve">.mp4</t>
    </r>
  </si>
  <si>
    <t xml:space="preserve">K5</t>
  </si>
  <si>
    <t xml:space="preserve">帮对，比帮多更重要</t>
  </si>
  <si>
    <t xml:space="preserve">向量合成：家长的力和孩子的力方向一致才叠加，相反则抵消</t>
  </si>
  <si>
    <t xml:space="preserve">选对帮助，比给更多帮助重要</t>
  </si>
  <si>
    <t xml:space="preserve">K6</t>
  </si>
  <si>
    <t xml:space="preserve">孩子每天该睡几个小时？</t>
  </si>
  <si>
    <r>
      <rPr>
        <sz val="10"/>
        <rFont val="WenQuanYi Zen Hei"/>
        <family val="2"/>
      </rPr>
      <t xml:space="preserve">教育部（</t>
    </r>
    <r>
      <rPr>
        <sz val="10"/>
        <rFont val="Arial"/>
        <family val="0"/>
        <charset val="1"/>
      </rPr>
      <t xml:space="preserve">2021</t>
    </r>
    <r>
      <rPr>
        <sz val="10"/>
        <rFont val="WenQuanYi Zen Hei"/>
        <family val="2"/>
      </rPr>
      <t xml:space="preserve">）：高中生每天睡眠应达 </t>
    </r>
    <r>
      <rPr>
        <sz val="10"/>
        <rFont val="Arial"/>
        <family val="0"/>
        <charset val="1"/>
      </rPr>
      <t xml:space="preserve">8 </t>
    </r>
    <r>
      <rPr>
        <sz val="10"/>
        <rFont val="WenQuanYi Zen Hei"/>
        <family val="2"/>
      </rPr>
      <t xml:space="preserve">小时；只睡 </t>
    </r>
    <r>
      <rPr>
        <sz val="10"/>
        <rFont val="Arial"/>
        <family val="0"/>
        <charset val="1"/>
      </rPr>
      <t xml:space="preserve">6 </t>
    </r>
    <r>
      <rPr>
        <sz val="10"/>
        <rFont val="WenQuanYi Zen Hei"/>
        <family val="2"/>
      </rPr>
      <t xml:space="preserve">小时一周欠 </t>
    </r>
    <r>
      <rPr>
        <sz val="10"/>
        <rFont val="Arial"/>
        <family val="0"/>
        <charset val="1"/>
      </rPr>
      <t xml:space="preserve">14 </t>
    </r>
    <r>
      <rPr>
        <sz val="10"/>
        <rFont val="WenQuanYi Zen Hei"/>
        <family val="2"/>
      </rPr>
      <t xml:space="preserve">小时；睡眠中记忆巩固</t>
    </r>
  </si>
  <si>
    <t xml:space="preserve">睡够了，学进去的才留得住</t>
  </si>
  <si>
    <t xml:space="preserve">流光渐变</t>
  </si>
  <si>
    <r>
      <rPr>
        <sz val="10"/>
        <rFont val="Arial"/>
        <family val="0"/>
        <charset val="1"/>
      </rPr>
      <t xml:space="preserve">K6_</t>
    </r>
    <r>
      <rPr>
        <sz val="10"/>
        <rFont val="WenQuanYi Zen Hei"/>
        <family val="2"/>
      </rPr>
      <t xml:space="preserve">孩子每天该睡几个小时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无配音</t>
    </r>
    <r>
      <rPr>
        <sz val="10"/>
        <rFont val="Arial"/>
        <family val="0"/>
        <charset val="1"/>
      </rPr>
      <t xml:space="preserve">.mp4 / _AI</t>
    </r>
    <r>
      <rPr>
        <sz val="10"/>
        <rFont val="WenQuanYi Zen Hei"/>
        <family val="2"/>
      </rPr>
      <t xml:space="preserve">配音</t>
    </r>
    <r>
      <rPr>
        <sz val="10"/>
        <rFont val="Arial"/>
        <family val="0"/>
        <charset val="1"/>
      </rPr>
      <t xml:space="preserve">.mp4</t>
    </r>
  </si>
  <si>
    <t xml:space="preserve">K7</t>
  </si>
  <si>
    <t xml:space="preserve">夸孩子聪明，还是夸努力？</t>
  </si>
  <si>
    <r>
      <rPr>
        <sz val="10"/>
        <rFont val="Arial"/>
        <family val="0"/>
        <charset val="1"/>
      </rPr>
      <t xml:space="preserve">Mueller &amp; Dweck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1998</t>
    </r>
    <r>
      <rPr>
        <sz val="10"/>
        <rFont val="WenQuanYi Zen Hei"/>
        <family val="2"/>
      </rPr>
      <t xml:space="preserve">）：被夸聪明的孩子更多选简单题、受挫易放弃；被夸努力的更多选难题</t>
    </r>
  </si>
  <si>
    <t xml:space="preserve">少夸你真聪明，多夸你真努力</t>
  </si>
  <si>
    <r>
      <rPr>
        <sz val="10"/>
        <rFont val="Arial"/>
        <family val="0"/>
        <charset val="1"/>
      </rPr>
      <t xml:space="preserve">K7_</t>
    </r>
    <r>
      <rPr>
        <sz val="10"/>
        <rFont val="WenQuanYi Zen Hei"/>
        <family val="2"/>
      </rPr>
      <t xml:space="preserve">夸孩子聪明还是夸努力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无配音</t>
    </r>
    <r>
      <rPr>
        <sz val="10"/>
        <rFont val="Arial"/>
        <family val="0"/>
        <charset val="1"/>
      </rPr>
      <t xml:space="preserve">.mp4 / _AI</t>
    </r>
    <r>
      <rPr>
        <sz val="10"/>
        <rFont val="WenQuanYi Zen Hei"/>
        <family val="2"/>
      </rPr>
      <t xml:space="preserve">配音</t>
    </r>
    <r>
      <rPr>
        <sz val="10"/>
        <rFont val="Arial"/>
        <family val="0"/>
        <charset val="1"/>
      </rPr>
      <t xml:space="preserve">.mp4</t>
    </r>
  </si>
  <si>
    <t xml:space="preserve">K8</t>
  </si>
  <si>
    <t xml:space="preserve">孩子不听你说什么，看你做什么</t>
  </si>
  <si>
    <r>
      <rPr>
        <sz val="10"/>
        <rFont val="WenQuanYi Zen Hei"/>
        <family val="2"/>
      </rPr>
      <t xml:space="preserve">班杜拉波波玩偶实验（</t>
    </r>
    <r>
      <rPr>
        <sz val="10"/>
        <rFont val="Arial"/>
        <family val="0"/>
        <charset val="1"/>
      </rPr>
      <t xml:space="preserve">1961</t>
    </r>
    <r>
      <rPr>
        <sz val="10"/>
        <rFont val="WenQuanYi Zen Hei"/>
        <family val="2"/>
      </rPr>
      <t xml:space="preserve">）：儿童模仿成人行为（观察学习）</t>
    </r>
  </si>
  <si>
    <t xml:space="preserve">最好的教育，是做给孩子看</t>
  </si>
  <si>
    <r>
      <rPr>
        <sz val="10"/>
        <rFont val="Arial"/>
        <family val="0"/>
        <charset val="1"/>
      </rPr>
      <t xml:space="preserve">K8_</t>
    </r>
    <r>
      <rPr>
        <sz val="10"/>
        <rFont val="WenQuanYi Zen Hei"/>
        <family val="2"/>
      </rPr>
      <t xml:space="preserve">孩子看你做什么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无配音</t>
    </r>
    <r>
      <rPr>
        <sz val="10"/>
        <rFont val="Arial"/>
        <family val="0"/>
        <charset val="1"/>
      </rPr>
      <t xml:space="preserve">.mp4 / _AI</t>
    </r>
    <r>
      <rPr>
        <sz val="10"/>
        <rFont val="WenQuanYi Zen Hei"/>
        <family val="2"/>
      </rPr>
      <t xml:space="preserve">配音</t>
    </r>
    <r>
      <rPr>
        <sz val="10"/>
        <rFont val="Arial"/>
        <family val="0"/>
        <charset val="1"/>
      </rPr>
      <t xml:space="preserve">.mp4</t>
    </r>
  </si>
  <si>
    <t xml:space="preserve">L1</t>
  </si>
  <si>
    <t xml:space="preserve">压力不是越小越好</t>
  </si>
  <si>
    <r>
      <rPr>
        <sz val="10"/>
        <rFont val="WenQuanYi Zen Hei"/>
        <family val="2"/>
      </rPr>
      <t xml:space="preserve">耶克斯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多德森定律：倒 </t>
    </r>
    <r>
      <rPr>
        <sz val="10"/>
        <rFont val="Arial"/>
        <family val="0"/>
        <charset val="1"/>
      </rPr>
      <t xml:space="preserve">U </t>
    </r>
    <r>
      <rPr>
        <sz val="10"/>
        <rFont val="WenQuanYi Zen Hei"/>
        <family val="2"/>
      </rPr>
      <t xml:space="preserve">曲线，适度压力下表现最好</t>
    </r>
  </si>
  <si>
    <t xml:space="preserve">有点紧张，说明你在乎，也说明状态正在来</t>
  </si>
  <si>
    <t xml:space="preserve">考前学生</t>
  </si>
  <si>
    <r>
      <rPr>
        <sz val="10"/>
        <rFont val="Arial"/>
        <family val="0"/>
        <charset val="1"/>
      </rPr>
      <t xml:space="preserve">L1_</t>
    </r>
    <r>
      <rPr>
        <sz val="10"/>
        <rFont val="WenQuanYi Zen Hei"/>
        <family val="2"/>
      </rPr>
      <t xml:space="preserve">期末前压力不是越小越好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无配音</t>
    </r>
    <r>
      <rPr>
        <sz val="10"/>
        <rFont val="Arial"/>
        <family val="0"/>
        <charset val="1"/>
      </rPr>
      <t xml:space="preserve">.mp4 / _AI</t>
    </r>
    <r>
      <rPr>
        <sz val="10"/>
        <rFont val="WenQuanYi Zen Hei"/>
        <family val="2"/>
      </rPr>
      <t xml:space="preserve">配音</t>
    </r>
    <r>
      <rPr>
        <sz val="10"/>
        <rFont val="Arial"/>
        <family val="0"/>
        <charset val="1"/>
      </rPr>
      <t xml:space="preserve">.mp4</t>
    </r>
  </si>
  <si>
    <t xml:space="preserve">L2</t>
  </si>
  <si>
    <r>
      <rPr>
        <sz val="10"/>
        <rFont val="WenQuanYi Zen Hei"/>
        <family val="2"/>
      </rPr>
      <t xml:space="preserve">高考考的是</t>
    </r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稳定</t>
    </r>
    <r>
      <rPr>
        <sz val="10"/>
        <rFont val="Arial"/>
        <family val="0"/>
        <charset val="1"/>
      </rPr>
      <t xml:space="preserve">"</t>
    </r>
  </si>
  <si>
    <r>
      <rPr>
        <sz val="10"/>
        <rFont val="WenQuanYi Zen Hei"/>
        <family val="2"/>
      </rPr>
      <t xml:space="preserve">正态分布的方差：均值相同，波动小的人高考更稳（两条分布曲线对比，模拟 </t>
    </r>
    <r>
      <rPr>
        <sz val="10"/>
        <rFont val="Arial"/>
        <family val="0"/>
        <charset val="1"/>
      </rPr>
      <t xml:space="preserve">1,000 </t>
    </r>
    <r>
      <rPr>
        <sz val="10"/>
        <rFont val="WenQuanYi Zen Hei"/>
        <family val="2"/>
      </rPr>
      <t xml:space="preserve">次考试）</t>
    </r>
  </si>
  <si>
    <t xml:space="preserve">提高下限，比偶尔冲高更重要</t>
  </si>
  <si>
    <r>
      <rPr>
        <sz val="10"/>
        <rFont val="Arial"/>
        <family val="0"/>
        <charset val="1"/>
      </rPr>
      <t xml:space="preserve">L2_</t>
    </r>
    <r>
      <rPr>
        <sz val="10"/>
        <rFont val="WenQuanYi Zen Hei"/>
        <family val="2"/>
      </rPr>
      <t xml:space="preserve">期末考的是稳定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无配音</t>
    </r>
    <r>
      <rPr>
        <sz val="10"/>
        <rFont val="Arial"/>
        <family val="0"/>
        <charset val="1"/>
      </rPr>
      <t xml:space="preserve">.mp4 / _AI</t>
    </r>
    <r>
      <rPr>
        <sz val="10"/>
        <rFont val="WenQuanYi Zen Hei"/>
        <family val="2"/>
      </rPr>
      <t xml:space="preserve">配音</t>
    </r>
    <r>
      <rPr>
        <sz val="10"/>
        <rFont val="Arial"/>
        <family val="0"/>
        <charset val="1"/>
      </rPr>
      <t xml:space="preserve">.mp4</t>
    </r>
  </si>
  <si>
    <t xml:space="preserve">L3</t>
  </si>
  <si>
    <r>
      <rPr>
        <sz val="10"/>
        <rFont val="WenQuanYi Zen Hei"/>
        <family val="2"/>
      </rPr>
      <t xml:space="preserve">一次失利，在 </t>
    </r>
    <r>
      <rPr>
        <sz val="10"/>
        <rFont val="Arial"/>
        <family val="0"/>
        <charset val="1"/>
      </rPr>
      <t xml:space="preserve">1000 </t>
    </r>
    <r>
      <rPr>
        <sz val="10"/>
        <rFont val="WenQuanYi Zen Hei"/>
        <family val="2"/>
      </rPr>
      <t xml:space="preserve">次里有多大？</t>
    </r>
  </si>
  <si>
    <t xml:space="preserve">大数定律：单次结果随机，长期趋势稳定（模拟曲线）</t>
  </si>
  <si>
    <t xml:space="preserve">一次考砸只是一个点，不是你的曲线</t>
  </si>
  <si>
    <r>
      <rPr>
        <sz val="10"/>
        <rFont val="WenQuanYi Zen Hei"/>
        <family val="2"/>
      </rPr>
      <t xml:space="preserve">考后学生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家长</t>
    </r>
  </si>
  <si>
    <r>
      <rPr>
        <sz val="10"/>
        <rFont val="Arial"/>
        <family val="0"/>
        <charset val="1"/>
      </rPr>
      <t xml:space="preserve">L3_</t>
    </r>
    <r>
      <rPr>
        <sz val="10"/>
        <rFont val="WenQuanYi Zen Hei"/>
        <family val="2"/>
      </rPr>
      <t xml:space="preserve">一次考砸只是一个点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无配音</t>
    </r>
    <r>
      <rPr>
        <sz val="10"/>
        <rFont val="Arial"/>
        <family val="0"/>
        <charset val="1"/>
      </rPr>
      <t xml:space="preserve">.mp4 / _AI</t>
    </r>
    <r>
      <rPr>
        <sz val="10"/>
        <rFont val="WenQuanYi Zen Hei"/>
        <family val="2"/>
      </rPr>
      <t xml:space="preserve">配音</t>
    </r>
    <r>
      <rPr>
        <sz val="10"/>
        <rFont val="Arial"/>
        <family val="0"/>
        <charset val="1"/>
      </rPr>
      <t xml:space="preserve">.mp4</t>
    </r>
  </si>
  <si>
    <t xml:space="preserve">L4</t>
  </si>
  <si>
    <t xml:space="preserve">慌的时候，先把呼吸找回来</t>
  </si>
  <si>
    <r>
      <rPr>
        <sz val="10"/>
        <rFont val="WenQuanYi Zen Hei"/>
        <family val="2"/>
      </rPr>
      <t xml:space="preserve">考前放松引导：吸气 </t>
    </r>
    <r>
      <rPr>
        <sz val="10"/>
        <rFont val="Arial"/>
        <family val="0"/>
        <charset val="1"/>
      </rPr>
      <t xml:space="preserve">4 </t>
    </r>
    <r>
      <rPr>
        <sz val="10"/>
        <rFont val="WenQuanYi Zen Hei"/>
        <family val="2"/>
      </rPr>
      <t xml:space="preserve">秒、呼气 </t>
    </r>
    <r>
      <rPr>
        <sz val="10"/>
        <rFont val="Arial"/>
        <family val="0"/>
        <charset val="1"/>
      </rPr>
      <t xml:space="preserve">6 </t>
    </r>
    <r>
      <rPr>
        <sz val="10"/>
        <rFont val="WenQuanYi Zen Hei"/>
        <family val="2"/>
      </rPr>
      <t xml:space="preserve">秒，跟着圆圈做两轮（不涉及生理数值）</t>
    </r>
  </si>
  <si>
    <r>
      <rPr>
        <sz val="10"/>
        <rFont val="Arial"/>
        <family val="0"/>
        <charset val="1"/>
      </rPr>
      <t xml:space="preserve">L4_</t>
    </r>
    <r>
      <rPr>
        <sz val="10"/>
        <rFont val="WenQuanYi Zen Hei"/>
        <family val="2"/>
      </rPr>
      <t xml:space="preserve">慌的时候先把呼吸找回来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无配音</t>
    </r>
    <r>
      <rPr>
        <sz val="10"/>
        <rFont val="Arial"/>
        <family val="0"/>
        <charset val="1"/>
      </rPr>
      <t xml:space="preserve">.mp4 / _AI</t>
    </r>
    <r>
      <rPr>
        <sz val="10"/>
        <rFont val="WenQuanYi Zen Hei"/>
        <family val="2"/>
      </rPr>
      <t xml:space="preserve">配音</t>
    </r>
    <r>
      <rPr>
        <sz val="10"/>
        <rFont val="Arial"/>
        <family val="0"/>
        <charset val="1"/>
      </rPr>
      <t xml:space="preserve">.mp4</t>
    </r>
  </si>
  <si>
    <t xml:space="preserve">用途</t>
  </si>
  <si>
    <r>
      <rPr>
        <sz val="10"/>
        <rFont val="WenQuanYi Zen Hei"/>
        <family val="2"/>
      </rPr>
      <t xml:space="preserve">高中销转短视频选题库：</t>
    </r>
    <r>
      <rPr>
        <sz val="10"/>
        <rFont val="Arial"/>
        <family val="0"/>
        <charset val="1"/>
      </rPr>
      <t xml:space="preserve">12 </t>
    </r>
    <r>
      <rPr>
        <sz val="10"/>
        <rFont val="WenQuanYi Zen Hei"/>
        <family val="2"/>
      </rPr>
      <t xml:space="preserve">个类型、</t>
    </r>
    <r>
      <rPr>
        <sz val="10"/>
        <rFont val="Arial"/>
        <family val="0"/>
        <charset val="1"/>
      </rPr>
      <t xml:space="preserve">69 </t>
    </r>
    <r>
      <rPr>
        <sz val="10"/>
        <rFont val="WenQuanYi Zen Hei"/>
        <family val="2"/>
      </rPr>
      <t xml:space="preserve">个主题（原规划 </t>
    </r>
    <r>
      <rPr>
        <sz val="10"/>
        <rFont val="Arial"/>
        <family val="0"/>
        <charset val="1"/>
      </rPr>
      <t xml:space="preserve">61 </t>
    </r>
    <r>
      <rPr>
        <sz val="10"/>
        <rFont val="WenQuanYi Zen Hei"/>
        <family val="2"/>
      </rPr>
      <t xml:space="preserve">个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第 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批新增 </t>
    </r>
    <r>
      <rPr>
        <sz val="10"/>
        <rFont val="Arial"/>
        <family val="0"/>
        <charset val="1"/>
      </rPr>
      <t xml:space="preserve">7 </t>
    </r>
    <r>
      <rPr>
        <sz val="10"/>
        <rFont val="WenQuanYi Zen Hei"/>
        <family val="2"/>
      </rPr>
      <t xml:space="preserve">个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第 </t>
    </r>
    <r>
      <rPr>
        <sz val="10"/>
        <rFont val="Arial"/>
        <family val="0"/>
        <charset val="1"/>
      </rPr>
      <t xml:space="preserve">4 </t>
    </r>
    <r>
      <rPr>
        <sz val="10"/>
        <rFont val="WenQuanYi Zen Hei"/>
        <family val="2"/>
      </rPr>
      <t xml:space="preserve">批新增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个，</t>
    </r>
    <r>
      <rPr>
        <sz val="10"/>
        <rFont val="Arial"/>
        <family val="0"/>
        <charset val="1"/>
      </rPr>
      <t xml:space="preserve">K4 </t>
    </r>
    <r>
      <rPr>
        <sz val="10"/>
        <rFont val="WenQuanYi Zen Hei"/>
        <family val="2"/>
      </rPr>
      <t xml:space="preserve">换题）。每个主题都以一个真实的科学事实或算出来的数字作锚点，前 </t>
    </r>
    <r>
      <rPr>
        <sz val="10"/>
        <rFont val="Arial"/>
        <family val="0"/>
        <charset val="1"/>
      </rPr>
      <t xml:space="preserve">2/3 </t>
    </r>
    <r>
      <rPr>
        <sz val="10"/>
        <rFont val="WenQuanYi Zen Hei"/>
        <family val="2"/>
      </rPr>
      <t xml:space="preserve">讲科学、后 </t>
    </r>
    <r>
      <rPr>
        <sz val="10"/>
        <rFont val="Arial"/>
        <family val="0"/>
        <charset val="1"/>
      </rPr>
      <t xml:space="preserve">1/3 </t>
    </r>
    <r>
      <rPr>
        <sz val="10"/>
        <rFont val="WenQuanYi Zen Hei"/>
        <family val="2"/>
      </rPr>
      <t xml:space="preserve">翻转到高中生活。</t>
    </r>
  </si>
  <si>
    <t xml:space="preserve">🔴 塑危组：引流钩子、推课塑危、截杀；🟡 激励组：社群维护、促出勤、早晚安；🔵 赋能组：推课价值、异议处理、家长沟通。</t>
  </si>
  <si>
    <r>
      <rPr>
        <sz val="10"/>
        <rFont val="Arial"/>
        <family val="0"/>
        <charset val="1"/>
      </rPr>
      <t xml:space="preserve">S 15–30 </t>
    </r>
    <r>
      <rPr>
        <sz val="10"/>
        <rFont val="WenQuanYi Zen Hei"/>
        <family val="2"/>
      </rPr>
      <t xml:space="preserve">秒（一个事实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一句金句）；</t>
    </r>
    <r>
      <rPr>
        <sz val="10"/>
        <rFont val="Arial"/>
        <family val="0"/>
        <charset val="1"/>
      </rPr>
      <t xml:space="preserve">M 30–60 </t>
    </r>
    <r>
      <rPr>
        <sz val="10"/>
        <rFont val="WenQuanYi Zen Hei"/>
        <family val="2"/>
      </rPr>
      <t xml:space="preserve">秒（完整五段式）；</t>
    </r>
    <r>
      <rPr>
        <sz val="10"/>
        <rFont val="Arial"/>
        <family val="0"/>
        <charset val="1"/>
      </rPr>
      <t xml:space="preserve">L 60–120 </t>
    </r>
    <r>
      <rPr>
        <sz val="10"/>
        <rFont val="WenQuanYi Zen Hei"/>
        <family val="2"/>
      </rPr>
      <t xml:space="preserve">秒（旗舰片）。成片实际时长含 </t>
    </r>
    <r>
      <rPr>
        <sz val="10"/>
        <rFont val="Arial"/>
        <family val="0"/>
        <charset val="1"/>
      </rPr>
      <t xml:space="preserve">4.2 </t>
    </r>
    <r>
      <rPr>
        <sz val="10"/>
        <rFont val="WenQuanYi Zen Hei"/>
        <family val="2"/>
      </rPr>
      <t xml:space="preserve">秒品牌片尾。</t>
    </r>
  </si>
  <si>
    <t xml:space="preserve">⭐ 为规划时建议优先制作的主题。</t>
  </si>
  <si>
    <r>
      <rPr>
        <sz val="10"/>
        <rFont val="WenQuanYi Zen Hei"/>
        <family val="2"/>
      </rPr>
      <t xml:space="preserve">绿色底色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已制作（成片在仓库 </t>
    </r>
    <r>
      <rPr>
        <sz val="10"/>
        <rFont val="Arial"/>
        <family val="0"/>
        <charset val="1"/>
      </rPr>
      <t xml:space="preserve">studio/out/</t>
    </r>
    <r>
      <rPr>
        <sz val="10"/>
        <rFont val="WenQuanYi Zen Hei"/>
        <family val="2"/>
      </rPr>
      <t xml:space="preserve">，每条含无配音版、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配音版、封面图）。可在本表手动更新状态，「类型总览」的统计会自动重算。</t>
    </r>
  </si>
  <si>
    <t xml:space="preserve">需提供数据</t>
  </si>
  <si>
    <r>
      <rPr>
        <sz val="10"/>
        <rFont val="Arial"/>
        <family val="0"/>
        <charset val="1"/>
      </rPr>
      <t xml:space="preserve">G4</t>
    </r>
    <r>
      <rPr>
        <sz val="10"/>
        <rFont val="WenQuanYi Zen Hei"/>
        <family val="2"/>
      </rPr>
      <t xml:space="preserve">（一分一段表）需要目标省份的真实数据；</t>
    </r>
    <r>
      <rPr>
        <sz val="10"/>
        <rFont val="Arial"/>
        <family val="0"/>
        <charset val="1"/>
      </rPr>
      <t xml:space="preserve">J4</t>
    </r>
    <r>
      <rPr>
        <sz val="10"/>
        <rFont val="WenQuanYi Zen Hei"/>
        <family val="2"/>
      </rPr>
      <t xml:space="preserve">（学员提分案例）需要真实学员数据。</t>
    </r>
  </si>
  <si>
    <t xml:space="preserve">数据红线</t>
  </si>
  <si>
    <r>
      <rPr>
        <sz val="10"/>
        <rFont val="WenQuanYi Zen Hei"/>
        <family val="2"/>
      </rPr>
      <t xml:space="preserve">不用伪科学励志梗：竹子定律、</t>
    </r>
    <r>
      <rPr>
        <sz val="10"/>
        <rFont val="Arial"/>
        <family val="0"/>
        <charset val="1"/>
      </rPr>
      <t xml:space="preserve">21 </t>
    </r>
    <r>
      <rPr>
        <sz val="10"/>
        <rFont val="WenQuanYi Zen Hei"/>
        <family val="2"/>
      </rPr>
      <t xml:space="preserve">天养成习惯、学习金字塔、人只用了大脑 </t>
    </r>
    <r>
      <rPr>
        <sz val="10"/>
        <rFont val="Arial"/>
        <family val="0"/>
        <charset val="1"/>
      </rPr>
      <t xml:space="preserve">10%</t>
    </r>
    <r>
      <rPr>
        <sz val="10"/>
        <rFont val="WenQuanYi Zen Hei"/>
        <family val="2"/>
      </rPr>
      <t xml:space="preserve">、金鱼记忆 </t>
    </r>
    <r>
      <rPr>
        <sz val="10"/>
        <rFont val="Arial"/>
        <family val="0"/>
        <charset val="1"/>
      </rPr>
      <t xml:space="preserve">7 </t>
    </r>
    <r>
      <rPr>
        <sz val="10"/>
        <rFont val="WenQuanYi Zen Hei"/>
        <family val="2"/>
      </rPr>
      <t xml:space="preserve">秒。估算、示例、模拟数据在画面上都标注。</t>
    </r>
  </si>
  <si>
    <t xml:space="preserve">配音编号</t>
  </si>
  <si>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号男声沉稳、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号男声清亮、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号男声温和、</t>
    </r>
    <r>
      <rPr>
        <sz val="10"/>
        <rFont val="Arial"/>
        <family val="0"/>
        <charset val="1"/>
      </rPr>
      <t xml:space="preserve">4 </t>
    </r>
    <r>
      <rPr>
        <sz val="10"/>
        <rFont val="WenQuanYi Zen Hei"/>
        <family val="2"/>
      </rPr>
      <t xml:space="preserve">号女声温柔、</t>
    </r>
    <r>
      <rPr>
        <sz val="10"/>
        <rFont val="Arial"/>
        <family val="0"/>
        <charset val="1"/>
      </rPr>
      <t xml:space="preserve">5 </t>
    </r>
    <r>
      <rPr>
        <sz val="10"/>
        <rFont val="WenQuanYi Zen Hei"/>
        <family val="2"/>
      </rPr>
      <t xml:space="preserve">号女声明亮、</t>
    </r>
    <r>
      <rPr>
        <sz val="10"/>
        <rFont val="Arial"/>
        <family val="0"/>
        <charset val="1"/>
      </rPr>
      <t xml:space="preserve">6 </t>
    </r>
    <r>
      <rPr>
        <sz val="10"/>
        <rFont val="WenQuanYi Zen Hei"/>
        <family val="2"/>
      </rPr>
      <t xml:space="preserve">号女声知性（试听：</t>
    </r>
    <r>
      <rPr>
        <sz val="10"/>
        <rFont val="Arial"/>
        <family val="0"/>
        <charset val="1"/>
      </rPr>
      <t xml:space="preserve">studio/out/</t>
    </r>
    <r>
      <rPr>
        <sz val="10"/>
        <rFont val="WenQuanYi Zen Hei"/>
        <family val="2"/>
      </rPr>
      <t xml:space="preserve">配音音色试听</t>
    </r>
    <r>
      <rPr>
        <sz val="10"/>
        <rFont val="Arial"/>
        <family val="0"/>
        <charset val="1"/>
      </rPr>
      <t xml:space="preserve">.m4a</t>
    </r>
    <r>
      <rPr>
        <sz val="10"/>
        <rFont val="WenQuanYi Zen Hei"/>
        <family val="2"/>
      </rPr>
      <t xml:space="preserve">）。</t>
    </r>
  </si>
  <si>
    <t xml:space="preserve">来源</t>
  </si>
  <si>
    <r>
      <rPr>
        <sz val="10"/>
        <rFont val="Arial"/>
        <family val="0"/>
        <charset val="1"/>
      </rPr>
      <t xml:space="preserve">docs/</t>
    </r>
    <r>
      <rPr>
        <sz val="10"/>
        <rFont val="WenQuanYi Zen Hei"/>
        <family val="2"/>
      </rPr>
      <t xml:space="preserve">视频系列方案</t>
    </r>
    <r>
      <rPr>
        <sz val="10"/>
        <rFont val="Arial"/>
        <family val="0"/>
        <charset val="1"/>
      </rPr>
      <t xml:space="preserve">.md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V1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2026-10-24 </t>
    </r>
    <r>
      <rPr>
        <sz val="10"/>
        <rFont val="WenQuanYi Zen Hei"/>
        <family val="2"/>
      </rPr>
      <t xml:space="preserve">确认）。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</si>
</sst>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WenQuanYi Zen Hei"/>
      <family val="2"/>
    </font>
    <font>
      <sz val="10"/>
      <name val="Arial"/>
      <family val="0"/>
      <charset val="1"/>
    </font>
    <font>
      <sz val="10"/>
      <name val="WenQuanYi Zen Hei"/>
      <family val="2"/>
    </font>
    <font>
      <b val="true"/>
      <sz val="10"/>
      <name val="WenQuanYi Zen Hei"/>
      <family val="2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8A"/>
        <bgColor rgb="FF003366"/>
      </patternFill>
    </fill>
    <fill>
      <patternFill patternType="solid">
        <fgColor rgb="FFFDECEC"/>
        <bgColor rgb="FFFFF7E0"/>
      </patternFill>
    </fill>
    <fill>
      <patternFill patternType="solid">
        <fgColor rgb="FFFFF7E0"/>
        <bgColor rgb="FFFDECEC"/>
      </patternFill>
    </fill>
    <fill>
      <patternFill patternType="solid">
        <fgColor rgb="FFE8F0FE"/>
        <bgColor rgb="FFE8F5E9"/>
      </patternFill>
    </fill>
    <fill>
      <patternFill patternType="solid">
        <fgColor rgb="FFE8F5E9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A8A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fgColor rgb="FFFDECEC"/>
          <bgColor rgb="FF000000"/>
        </patternFill>
      </fill>
    </dxf>
    <dxf>
      <fill>
        <patternFill patternType="solid">
          <fgColor rgb="FFFFF7E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E0"/>
      <rgbColor rgb="FFE8F5E9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E"/>
      <rgbColor rgb="FFCCFFCC"/>
      <rgbColor rgb="FFFDEC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22"/>
    <col collapsed="false" customWidth="true" hidden="false" outlineLevel="0" max="5" min="5" style="0" width="40"/>
    <col collapsed="false" customWidth="true" hidden="false" outlineLevel="0" max="8" min="6" style="0" width="9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3" t="s">
        <v>9</v>
      </c>
      <c r="C2" s="4" t="s">
        <v>10</v>
      </c>
      <c r="D2" s="4" t="s">
        <v>11</v>
      </c>
      <c r="E2" s="4" t="s">
        <v>12</v>
      </c>
      <c r="F2" s="2" t="n">
        <f aca="false">COUNTIF(主题清单!$B$2:$B$70,A2)</f>
        <v>6</v>
      </c>
      <c r="G2" s="2" t="n">
        <f aca="false">COUNTIFS(主题清单!$B$2:$B$70,A2,主题清单!$J$2:$J$70,"已制作")</f>
        <v>4</v>
      </c>
      <c r="H2" s="2" t="n">
        <f aca="false">F2-G2</f>
        <v>2</v>
      </c>
    </row>
    <row r="3" customFormat="false" ht="15" hidden="false" customHeight="false" outlineLevel="0" collapsed="false">
      <c r="A3" s="2" t="s">
        <v>13</v>
      </c>
      <c r="B3" s="5" t="s">
        <v>14</v>
      </c>
      <c r="C3" s="4" t="s">
        <v>15</v>
      </c>
      <c r="D3" s="4" t="s">
        <v>16</v>
      </c>
      <c r="E3" s="4" t="s">
        <v>17</v>
      </c>
      <c r="F3" s="2" t="n">
        <f aca="false">COUNTIF(主题清单!$B$2:$B$70,A3)</f>
        <v>6</v>
      </c>
      <c r="G3" s="2" t="n">
        <f aca="false">COUNTIFS(主题清单!$B$2:$B$70,A3,主题清单!$J$2:$J$70,"已制作")</f>
        <v>4</v>
      </c>
      <c r="H3" s="2" t="n">
        <f aca="false">F3-G3</f>
        <v>2</v>
      </c>
    </row>
    <row r="4" customFormat="false" ht="15" hidden="false" customHeight="false" outlineLevel="0" collapsed="false">
      <c r="A4" s="2" t="s">
        <v>18</v>
      </c>
      <c r="B4" s="5" t="s">
        <v>14</v>
      </c>
      <c r="C4" s="4" t="s">
        <v>19</v>
      </c>
      <c r="D4" s="4" t="s">
        <v>20</v>
      </c>
      <c r="E4" s="4" t="s">
        <v>21</v>
      </c>
      <c r="F4" s="2" t="n">
        <f aca="false">COUNTIF(主题清单!$B$2:$B$70,A4)</f>
        <v>6</v>
      </c>
      <c r="G4" s="2" t="n">
        <f aca="false">COUNTIFS(主题清单!$B$2:$B$70,A4,主题清单!$J$2:$J$70,"已制作")</f>
        <v>5</v>
      </c>
      <c r="H4" s="2" t="n">
        <f aca="false">F4-G4</f>
        <v>1</v>
      </c>
    </row>
    <row r="5" customFormat="false" ht="15" hidden="false" customHeight="false" outlineLevel="0" collapsed="false">
      <c r="A5" s="2" t="s">
        <v>22</v>
      </c>
      <c r="B5" s="5" t="s">
        <v>14</v>
      </c>
      <c r="C5" s="4" t="s">
        <v>23</v>
      </c>
      <c r="D5" s="4" t="s">
        <v>20</v>
      </c>
      <c r="E5" s="4" t="s">
        <v>24</v>
      </c>
      <c r="F5" s="2" t="n">
        <f aca="false">COUNTIF(主题清单!$B$2:$B$70,A5)</f>
        <v>5</v>
      </c>
      <c r="G5" s="2" t="n">
        <f aca="false">COUNTIFS(主题清单!$B$2:$B$70,A5,主题清单!$J$2:$J$70,"已制作")</f>
        <v>4</v>
      </c>
      <c r="H5" s="2" t="n">
        <f aca="false">F5-G5</f>
        <v>1</v>
      </c>
    </row>
    <row r="6" customFormat="false" ht="26.85" hidden="false" customHeight="false" outlineLevel="0" collapsed="false">
      <c r="A6" s="2" t="s">
        <v>25</v>
      </c>
      <c r="B6" s="6" t="s">
        <v>26</v>
      </c>
      <c r="C6" s="4" t="s">
        <v>27</v>
      </c>
      <c r="D6" s="4" t="s">
        <v>16</v>
      </c>
      <c r="E6" s="4" t="s">
        <v>28</v>
      </c>
      <c r="F6" s="2" t="n">
        <f aca="false">COUNTIF(主题清单!$B$2:$B$70,A6)</f>
        <v>6</v>
      </c>
      <c r="G6" s="2" t="n">
        <f aca="false">COUNTIFS(主题清单!$B$2:$B$70,A6,主题清单!$J$2:$J$70,"已制作")</f>
        <v>4</v>
      </c>
      <c r="H6" s="2" t="n">
        <f aca="false">F6-G6</f>
        <v>2</v>
      </c>
    </row>
    <row r="7" customFormat="false" ht="26.85" hidden="false" customHeight="false" outlineLevel="0" collapsed="false">
      <c r="A7" s="2" t="s">
        <v>29</v>
      </c>
      <c r="B7" s="6" t="s">
        <v>26</v>
      </c>
      <c r="C7" s="4" t="s">
        <v>30</v>
      </c>
      <c r="D7" s="4" t="s">
        <v>31</v>
      </c>
      <c r="E7" s="4" t="s">
        <v>32</v>
      </c>
      <c r="F7" s="2" t="n">
        <f aca="false">COUNTIF(主题清单!$B$2:$B$70,A7)</f>
        <v>6</v>
      </c>
      <c r="G7" s="2" t="n">
        <f aca="false">COUNTIFS(主题清单!$B$2:$B$70,A7,主题清单!$J$2:$J$70,"已制作")</f>
        <v>5</v>
      </c>
      <c r="H7" s="2" t="n">
        <f aca="false">F7-G7</f>
        <v>1</v>
      </c>
    </row>
    <row r="8" customFormat="false" ht="15" hidden="false" customHeight="false" outlineLevel="0" collapsed="false">
      <c r="A8" s="2" t="s">
        <v>33</v>
      </c>
      <c r="B8" s="3" t="s">
        <v>9</v>
      </c>
      <c r="C8" s="4" t="s">
        <v>34</v>
      </c>
      <c r="D8" s="4" t="s">
        <v>31</v>
      </c>
      <c r="E8" s="4" t="s">
        <v>35</v>
      </c>
      <c r="F8" s="2" t="n">
        <f aca="false">COUNTIF(主题清单!$B$2:$B$70,A8)</f>
        <v>5</v>
      </c>
      <c r="G8" s="2" t="n">
        <f aca="false">COUNTIFS(主题清单!$B$2:$B$70,A8,主题清单!$J$2:$J$70,"已制作")</f>
        <v>4</v>
      </c>
      <c r="H8" s="2" t="n">
        <f aca="false">F8-G8</f>
        <v>1</v>
      </c>
    </row>
    <row r="9" customFormat="false" ht="15" hidden="false" customHeight="false" outlineLevel="0" collapsed="false">
      <c r="A9" s="2" t="s">
        <v>36</v>
      </c>
      <c r="B9" s="3" t="s">
        <v>9</v>
      </c>
      <c r="C9" s="4" t="s">
        <v>37</v>
      </c>
      <c r="D9" s="4" t="s">
        <v>31</v>
      </c>
      <c r="E9" s="4" t="s">
        <v>38</v>
      </c>
      <c r="F9" s="2" t="n">
        <f aca="false">COUNTIF(主题清单!$B$2:$B$70,A9)</f>
        <v>4</v>
      </c>
      <c r="G9" s="2" t="n">
        <f aca="false">COUNTIFS(主题清单!$B$2:$B$70,A9,主题清单!$J$2:$J$70,"已制作")</f>
        <v>2</v>
      </c>
      <c r="H9" s="2" t="n">
        <f aca="false">F9-G9</f>
        <v>2</v>
      </c>
    </row>
    <row r="10" customFormat="false" ht="26.85" hidden="false" customHeight="false" outlineLevel="0" collapsed="false">
      <c r="A10" s="2" t="s">
        <v>39</v>
      </c>
      <c r="B10" s="3" t="s">
        <v>9</v>
      </c>
      <c r="C10" s="4" t="s">
        <v>40</v>
      </c>
      <c r="D10" s="4" t="s">
        <v>31</v>
      </c>
      <c r="E10" s="4" t="s">
        <v>41</v>
      </c>
      <c r="F10" s="2" t="n">
        <f aca="false">COUNTIF(主题清单!$B$2:$B$70,A10)</f>
        <v>8</v>
      </c>
      <c r="G10" s="2" t="n">
        <f aca="false">COUNTIFS(主题清单!$B$2:$B$70,A10,主题清单!$J$2:$J$70,"已制作")</f>
        <v>6</v>
      </c>
      <c r="H10" s="2" t="n">
        <f aca="false">F10-G10</f>
        <v>2</v>
      </c>
    </row>
    <row r="11" customFormat="false" ht="26.85" hidden="false" customHeight="false" outlineLevel="0" collapsed="false">
      <c r="A11" s="2" t="s">
        <v>42</v>
      </c>
      <c r="B11" s="6" t="s">
        <v>26</v>
      </c>
      <c r="C11" s="4" t="s">
        <v>43</v>
      </c>
      <c r="D11" s="4" t="s">
        <v>44</v>
      </c>
      <c r="E11" s="4" t="s">
        <v>45</v>
      </c>
      <c r="F11" s="2" t="n">
        <f aca="false">COUNTIF(主题清单!$B$2:$B$70,A11)</f>
        <v>5</v>
      </c>
      <c r="G11" s="2" t="n">
        <f aca="false">COUNTIFS(主题清单!$B$2:$B$70,A11,主题清单!$J$2:$J$70,"已制作")</f>
        <v>4</v>
      </c>
      <c r="H11" s="2" t="n">
        <f aca="false">F11-G11</f>
        <v>1</v>
      </c>
    </row>
    <row r="12" customFormat="false" ht="26.85" hidden="false" customHeight="false" outlineLevel="0" collapsed="false">
      <c r="A12" s="2" t="s">
        <v>46</v>
      </c>
      <c r="B12" s="6" t="s">
        <v>26</v>
      </c>
      <c r="C12" s="4" t="s">
        <v>47</v>
      </c>
      <c r="D12" s="4" t="s">
        <v>48</v>
      </c>
      <c r="E12" s="4" t="s">
        <v>49</v>
      </c>
      <c r="F12" s="2" t="n">
        <f aca="false">COUNTIF(主题清单!$B$2:$B$70,A12)</f>
        <v>8</v>
      </c>
      <c r="G12" s="2" t="n">
        <f aca="false">COUNTIFS(主题清单!$B$2:$B$70,A12,主题清单!$J$2:$J$70,"已制作")</f>
        <v>7</v>
      </c>
      <c r="H12" s="2" t="n">
        <f aca="false">F12-G12</f>
        <v>1</v>
      </c>
    </row>
    <row r="13" customFormat="false" ht="26.85" hidden="false" customHeight="false" outlineLevel="0" collapsed="false">
      <c r="A13" s="2" t="s">
        <v>50</v>
      </c>
      <c r="B13" s="6" t="s">
        <v>26</v>
      </c>
      <c r="C13" s="4" t="s">
        <v>51</v>
      </c>
      <c r="D13" s="4" t="s">
        <v>52</v>
      </c>
      <c r="E13" s="4" t="s">
        <v>53</v>
      </c>
      <c r="F13" s="2" t="n">
        <f aca="false">COUNTIF(主题清单!$B$2:$B$70,A13)</f>
        <v>4</v>
      </c>
      <c r="G13" s="2" t="n">
        <f aca="false">COUNTIFS(主题清单!$B$2:$B$70,A13,主题清单!$J$2:$J$70,"已制作")</f>
        <v>4</v>
      </c>
      <c r="H13" s="2" t="n">
        <f aca="false">F13-G13</f>
        <v>0</v>
      </c>
    </row>
    <row r="14" customFormat="false" ht="15" hidden="false" customHeight="false" outlineLevel="0" collapsed="false">
      <c r="A14" s="7" t="s">
        <v>54</v>
      </c>
      <c r="F14" s="8" t="n">
        <f aca="false">SUM(F2:F13)</f>
        <v>69</v>
      </c>
      <c r="G14" s="8" t="n">
        <f aca="false">SUM(G2:G13)</f>
        <v>53</v>
      </c>
      <c r="H14" s="8" t="n">
        <f aca="false">SUM(H2:H13)</f>
        <v>16</v>
      </c>
    </row>
    <row r="15" customFormat="false" ht="15" hidden="false" customHeight="false" outlineLevel="0" collapsed="false">
      <c r="A15" s="7" t="s">
        <v>55</v>
      </c>
      <c r="G15" s="9" t="n">
        <f aca="false">IF(F14=0,0,G14/F14)</f>
        <v>0.768115942028986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34"/>
    <col collapsed="false" customWidth="true" hidden="false" outlineLevel="0" max="5" min="5" style="0" width="52"/>
    <col collapsed="false" customWidth="true" hidden="false" outlineLevel="0" max="6" min="6" style="0" width="30"/>
    <col collapsed="false" customWidth="true" hidden="false" outlineLevel="0" max="8" min="7" style="0" width="14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1" min="11" style="0" width="8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34"/>
  </cols>
  <sheetData>
    <row r="1" customFormat="false" ht="30" hidden="false" customHeight="true" outlineLevel="0" collapsed="false">
      <c r="A1" s="1" t="s">
        <v>56</v>
      </c>
      <c r="B1" s="1" t="s">
        <v>0</v>
      </c>
      <c r="C1" s="1" t="s">
        <v>1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</row>
    <row r="2" customFormat="false" ht="39.55" hidden="false" customHeight="false" outlineLevel="0" collapsed="false">
      <c r="A2" s="10" t="s">
        <v>68</v>
      </c>
      <c r="B2" s="10" t="s">
        <v>8</v>
      </c>
      <c r="C2" s="3" t="s">
        <v>9</v>
      </c>
      <c r="D2" s="11" t="s">
        <v>69</v>
      </c>
      <c r="E2" s="11" t="s">
        <v>70</v>
      </c>
      <c r="F2" s="11" t="s">
        <v>71</v>
      </c>
      <c r="G2" s="11" t="s">
        <v>72</v>
      </c>
      <c r="H2" s="10" t="s">
        <v>73</v>
      </c>
      <c r="I2" s="10" t="s">
        <v>74</v>
      </c>
      <c r="J2" s="11" t="s">
        <v>6</v>
      </c>
      <c r="K2" s="11" t="s">
        <v>75</v>
      </c>
      <c r="L2" s="11" t="s">
        <v>76</v>
      </c>
      <c r="M2" s="10" t="s">
        <v>77</v>
      </c>
      <c r="N2" s="10" t="s">
        <v>78</v>
      </c>
    </row>
    <row r="3" customFormat="false" ht="26.85" hidden="false" customHeight="false" outlineLevel="0" collapsed="false">
      <c r="A3" s="10" t="s">
        <v>79</v>
      </c>
      <c r="B3" s="10" t="s">
        <v>8</v>
      </c>
      <c r="C3" s="3" t="s">
        <v>9</v>
      </c>
      <c r="D3" s="11" t="s">
        <v>80</v>
      </c>
      <c r="E3" s="11" t="s">
        <v>81</v>
      </c>
      <c r="F3" s="11" t="s">
        <v>82</v>
      </c>
      <c r="G3" s="11" t="s">
        <v>83</v>
      </c>
      <c r="H3" s="10" t="s">
        <v>84</v>
      </c>
      <c r="I3" s="10" t="s">
        <v>74</v>
      </c>
      <c r="J3" s="11" t="s">
        <v>6</v>
      </c>
      <c r="K3" s="11" t="s">
        <v>85</v>
      </c>
      <c r="L3" s="11" t="s">
        <v>86</v>
      </c>
      <c r="M3" s="10" t="s">
        <v>77</v>
      </c>
      <c r="N3" s="10" t="s">
        <v>87</v>
      </c>
    </row>
    <row r="4" customFormat="false" ht="15" hidden="false" customHeight="false" outlineLevel="0" collapsed="false">
      <c r="A4" s="2" t="s">
        <v>88</v>
      </c>
      <c r="B4" s="2" t="s">
        <v>8</v>
      </c>
      <c r="C4" s="3" t="s">
        <v>9</v>
      </c>
      <c r="D4" s="4" t="s">
        <v>89</v>
      </c>
      <c r="E4" s="2" t="s">
        <v>90</v>
      </c>
      <c r="F4" s="4" t="s">
        <v>91</v>
      </c>
      <c r="G4" s="4" t="s">
        <v>20</v>
      </c>
      <c r="H4" s="2" t="s">
        <v>84</v>
      </c>
      <c r="I4" s="2"/>
      <c r="J4" s="4" t="s">
        <v>7</v>
      </c>
      <c r="K4" s="2"/>
      <c r="L4" s="2"/>
      <c r="M4" s="2"/>
      <c r="N4" s="2"/>
    </row>
    <row r="5" customFormat="false" ht="39.55" hidden="false" customHeight="false" outlineLevel="0" collapsed="false">
      <c r="A5" s="10" t="s">
        <v>92</v>
      </c>
      <c r="B5" s="10" t="s">
        <v>8</v>
      </c>
      <c r="C5" s="3" t="s">
        <v>9</v>
      </c>
      <c r="D5" s="11" t="s">
        <v>93</v>
      </c>
      <c r="E5" s="10" t="s">
        <v>94</v>
      </c>
      <c r="F5" s="11" t="s">
        <v>95</v>
      </c>
      <c r="G5" s="11" t="s">
        <v>83</v>
      </c>
      <c r="H5" s="10" t="s">
        <v>84</v>
      </c>
      <c r="I5" s="10"/>
      <c r="J5" s="11" t="s">
        <v>6</v>
      </c>
      <c r="K5" s="11" t="s">
        <v>96</v>
      </c>
      <c r="L5" s="11" t="s">
        <v>97</v>
      </c>
      <c r="M5" s="10" t="s">
        <v>98</v>
      </c>
      <c r="N5" s="10" t="s">
        <v>99</v>
      </c>
    </row>
    <row r="6" customFormat="false" ht="26.85" hidden="false" customHeight="false" outlineLevel="0" collapsed="false">
      <c r="A6" s="10" t="s">
        <v>100</v>
      </c>
      <c r="B6" s="10" t="s">
        <v>8</v>
      </c>
      <c r="C6" s="3" t="s">
        <v>9</v>
      </c>
      <c r="D6" s="11" t="s">
        <v>101</v>
      </c>
      <c r="E6" s="11" t="s">
        <v>102</v>
      </c>
      <c r="F6" s="11" t="s">
        <v>103</v>
      </c>
      <c r="G6" s="11" t="s">
        <v>104</v>
      </c>
      <c r="H6" s="10" t="s">
        <v>84</v>
      </c>
      <c r="I6" s="10"/>
      <c r="J6" s="11" t="s">
        <v>6</v>
      </c>
      <c r="K6" s="11" t="s">
        <v>96</v>
      </c>
      <c r="L6" s="11" t="s">
        <v>105</v>
      </c>
      <c r="M6" s="10" t="s">
        <v>77</v>
      </c>
      <c r="N6" s="10" t="s">
        <v>106</v>
      </c>
    </row>
    <row r="7" customFormat="false" ht="26.85" hidden="false" customHeight="false" outlineLevel="0" collapsed="false">
      <c r="A7" s="2" t="s">
        <v>107</v>
      </c>
      <c r="B7" s="2" t="s">
        <v>8</v>
      </c>
      <c r="C7" s="3" t="s">
        <v>9</v>
      </c>
      <c r="D7" s="4" t="s">
        <v>108</v>
      </c>
      <c r="E7" s="4" t="s">
        <v>109</v>
      </c>
      <c r="F7" s="4" t="s">
        <v>110</v>
      </c>
      <c r="G7" s="4" t="s">
        <v>83</v>
      </c>
      <c r="H7" s="2" t="s">
        <v>84</v>
      </c>
      <c r="I7" s="2"/>
      <c r="J7" s="4" t="s">
        <v>7</v>
      </c>
      <c r="K7" s="2"/>
      <c r="L7" s="2"/>
      <c r="M7" s="2"/>
      <c r="N7" s="2"/>
    </row>
    <row r="8" customFormat="false" ht="26.85" hidden="false" customHeight="false" outlineLevel="0" collapsed="false">
      <c r="A8" s="10" t="s">
        <v>111</v>
      </c>
      <c r="B8" s="10" t="s">
        <v>13</v>
      </c>
      <c r="C8" s="5" t="s">
        <v>14</v>
      </c>
      <c r="D8" s="11" t="s">
        <v>112</v>
      </c>
      <c r="E8" s="11" t="s">
        <v>113</v>
      </c>
      <c r="F8" s="11" t="s">
        <v>114</v>
      </c>
      <c r="G8" s="11" t="s">
        <v>20</v>
      </c>
      <c r="H8" s="10" t="s">
        <v>73</v>
      </c>
      <c r="I8" s="10" t="s">
        <v>74</v>
      </c>
      <c r="J8" s="11" t="s">
        <v>6</v>
      </c>
      <c r="K8" s="11" t="s">
        <v>115</v>
      </c>
      <c r="L8" s="11" t="s">
        <v>116</v>
      </c>
      <c r="M8" s="10" t="s">
        <v>117</v>
      </c>
      <c r="N8" s="10" t="s">
        <v>118</v>
      </c>
    </row>
    <row r="9" customFormat="false" ht="26.85" hidden="false" customHeight="false" outlineLevel="0" collapsed="false">
      <c r="A9" s="10" t="s">
        <v>119</v>
      </c>
      <c r="B9" s="10" t="s">
        <v>13</v>
      </c>
      <c r="C9" s="5" t="s">
        <v>14</v>
      </c>
      <c r="D9" s="11" t="s">
        <v>120</v>
      </c>
      <c r="E9" s="11" t="s">
        <v>121</v>
      </c>
      <c r="F9" s="11" t="s">
        <v>122</v>
      </c>
      <c r="G9" s="11" t="s">
        <v>83</v>
      </c>
      <c r="H9" s="10" t="s">
        <v>73</v>
      </c>
      <c r="I9" s="10" t="s">
        <v>74</v>
      </c>
      <c r="J9" s="11" t="s">
        <v>6</v>
      </c>
      <c r="K9" s="11" t="s">
        <v>85</v>
      </c>
      <c r="L9" s="11" t="s">
        <v>123</v>
      </c>
      <c r="M9" s="10" t="s">
        <v>77</v>
      </c>
      <c r="N9" s="10" t="s">
        <v>124</v>
      </c>
    </row>
    <row r="10" customFormat="false" ht="39.55" hidden="false" customHeight="false" outlineLevel="0" collapsed="false">
      <c r="A10" s="10" t="s">
        <v>125</v>
      </c>
      <c r="B10" s="10" t="s">
        <v>13</v>
      </c>
      <c r="C10" s="5" t="s">
        <v>14</v>
      </c>
      <c r="D10" s="11" t="s">
        <v>126</v>
      </c>
      <c r="E10" s="10" t="s">
        <v>127</v>
      </c>
      <c r="F10" s="11" t="s">
        <v>128</v>
      </c>
      <c r="G10" s="11" t="s">
        <v>20</v>
      </c>
      <c r="H10" s="10" t="s">
        <v>84</v>
      </c>
      <c r="I10" s="10"/>
      <c r="J10" s="11" t="s">
        <v>6</v>
      </c>
      <c r="K10" s="11" t="s">
        <v>96</v>
      </c>
      <c r="L10" s="11" t="s">
        <v>129</v>
      </c>
      <c r="M10" s="10" t="s">
        <v>130</v>
      </c>
      <c r="N10" s="10" t="s">
        <v>131</v>
      </c>
    </row>
    <row r="11" customFormat="false" ht="26.85" hidden="false" customHeight="false" outlineLevel="0" collapsed="false">
      <c r="A11" s="10" t="s">
        <v>132</v>
      </c>
      <c r="B11" s="10" t="s">
        <v>13</v>
      </c>
      <c r="C11" s="5" t="s">
        <v>14</v>
      </c>
      <c r="D11" s="11" t="s">
        <v>133</v>
      </c>
      <c r="E11" s="11" t="s">
        <v>134</v>
      </c>
      <c r="F11" s="11" t="s">
        <v>135</v>
      </c>
      <c r="G11" s="11" t="s">
        <v>20</v>
      </c>
      <c r="H11" s="10" t="s">
        <v>73</v>
      </c>
      <c r="I11" s="10"/>
      <c r="J11" s="11" t="s">
        <v>6</v>
      </c>
      <c r="K11" s="11" t="s">
        <v>96</v>
      </c>
      <c r="L11" s="11" t="s">
        <v>136</v>
      </c>
      <c r="M11" s="10" t="s">
        <v>117</v>
      </c>
      <c r="N11" s="10" t="s">
        <v>137</v>
      </c>
    </row>
    <row r="12" customFormat="false" ht="26.85" hidden="false" customHeight="false" outlineLevel="0" collapsed="false">
      <c r="A12" s="2" t="s">
        <v>138</v>
      </c>
      <c r="B12" s="2" t="s">
        <v>13</v>
      </c>
      <c r="C12" s="5" t="s">
        <v>14</v>
      </c>
      <c r="D12" s="4" t="s">
        <v>139</v>
      </c>
      <c r="E12" s="4" t="s">
        <v>140</v>
      </c>
      <c r="F12" s="4" t="s">
        <v>141</v>
      </c>
      <c r="G12" s="4" t="s">
        <v>20</v>
      </c>
      <c r="H12" s="2" t="s">
        <v>84</v>
      </c>
      <c r="I12" s="2"/>
      <c r="J12" s="4" t="s">
        <v>7</v>
      </c>
      <c r="K12" s="2"/>
      <c r="L12" s="2"/>
      <c r="M12" s="2"/>
      <c r="N12" s="2"/>
    </row>
    <row r="13" customFormat="false" ht="15" hidden="false" customHeight="false" outlineLevel="0" collapsed="false">
      <c r="A13" s="2" t="s">
        <v>142</v>
      </c>
      <c r="B13" s="2" t="s">
        <v>13</v>
      </c>
      <c r="C13" s="5" t="s">
        <v>14</v>
      </c>
      <c r="D13" s="2" t="s">
        <v>143</v>
      </c>
      <c r="E13" s="4" t="s">
        <v>144</v>
      </c>
      <c r="F13" s="4" t="s">
        <v>145</v>
      </c>
      <c r="G13" s="4" t="s">
        <v>83</v>
      </c>
      <c r="H13" s="2" t="s">
        <v>84</v>
      </c>
      <c r="I13" s="2"/>
      <c r="J13" s="4" t="s">
        <v>7</v>
      </c>
      <c r="K13" s="2"/>
      <c r="L13" s="2"/>
      <c r="M13" s="2"/>
      <c r="N13" s="2"/>
    </row>
    <row r="14" customFormat="false" ht="26.85" hidden="false" customHeight="false" outlineLevel="0" collapsed="false">
      <c r="A14" s="10" t="s">
        <v>146</v>
      </c>
      <c r="B14" s="10" t="s">
        <v>18</v>
      </c>
      <c r="C14" s="5" t="s">
        <v>14</v>
      </c>
      <c r="D14" s="10" t="s">
        <v>147</v>
      </c>
      <c r="E14" s="11" t="s">
        <v>148</v>
      </c>
      <c r="F14" s="11" t="s">
        <v>149</v>
      </c>
      <c r="G14" s="11" t="s">
        <v>20</v>
      </c>
      <c r="H14" s="10" t="s">
        <v>73</v>
      </c>
      <c r="I14" s="10" t="s">
        <v>74</v>
      </c>
      <c r="J14" s="11" t="s">
        <v>6</v>
      </c>
      <c r="K14" s="11" t="s">
        <v>85</v>
      </c>
      <c r="L14" s="11" t="s">
        <v>86</v>
      </c>
      <c r="M14" s="10" t="s">
        <v>77</v>
      </c>
      <c r="N14" s="10" t="s">
        <v>150</v>
      </c>
    </row>
    <row r="15" customFormat="false" ht="26.85" hidden="false" customHeight="false" outlineLevel="0" collapsed="false">
      <c r="A15" s="10" t="s">
        <v>151</v>
      </c>
      <c r="B15" s="10" t="s">
        <v>18</v>
      </c>
      <c r="C15" s="5" t="s">
        <v>14</v>
      </c>
      <c r="D15" s="11" t="s">
        <v>152</v>
      </c>
      <c r="E15" s="11" t="s">
        <v>153</v>
      </c>
      <c r="F15" s="11" t="s">
        <v>154</v>
      </c>
      <c r="G15" s="11" t="s">
        <v>155</v>
      </c>
      <c r="H15" s="10" t="s">
        <v>73</v>
      </c>
      <c r="I15" s="10" t="s">
        <v>74</v>
      </c>
      <c r="J15" s="11" t="s">
        <v>6</v>
      </c>
      <c r="K15" s="11" t="s">
        <v>75</v>
      </c>
      <c r="L15" s="11" t="s">
        <v>156</v>
      </c>
      <c r="M15" s="10" t="s">
        <v>117</v>
      </c>
      <c r="N15" s="10" t="s">
        <v>157</v>
      </c>
    </row>
    <row r="16" customFormat="false" ht="26.85" hidden="false" customHeight="false" outlineLevel="0" collapsed="false">
      <c r="A16" s="10" t="s">
        <v>158</v>
      </c>
      <c r="B16" s="10" t="s">
        <v>18</v>
      </c>
      <c r="C16" s="5" t="s">
        <v>14</v>
      </c>
      <c r="D16" s="11" t="s">
        <v>159</v>
      </c>
      <c r="E16" s="11" t="s">
        <v>160</v>
      </c>
      <c r="F16" s="11" t="s">
        <v>161</v>
      </c>
      <c r="G16" s="11" t="s">
        <v>20</v>
      </c>
      <c r="H16" s="10" t="s">
        <v>84</v>
      </c>
      <c r="I16" s="10" t="s">
        <v>74</v>
      </c>
      <c r="J16" s="11" t="s">
        <v>6</v>
      </c>
      <c r="K16" s="11" t="s">
        <v>75</v>
      </c>
      <c r="L16" s="11" t="s">
        <v>162</v>
      </c>
      <c r="M16" s="10" t="s">
        <v>98</v>
      </c>
      <c r="N16" s="10" t="s">
        <v>163</v>
      </c>
    </row>
    <row r="17" customFormat="false" ht="26.85" hidden="false" customHeight="false" outlineLevel="0" collapsed="false">
      <c r="A17" s="10" t="s">
        <v>164</v>
      </c>
      <c r="B17" s="10" t="s">
        <v>18</v>
      </c>
      <c r="C17" s="5" t="s">
        <v>14</v>
      </c>
      <c r="D17" s="11" t="s">
        <v>165</v>
      </c>
      <c r="E17" s="11" t="s">
        <v>166</v>
      </c>
      <c r="F17" s="11" t="s">
        <v>167</v>
      </c>
      <c r="G17" s="11" t="s">
        <v>20</v>
      </c>
      <c r="H17" s="10" t="s">
        <v>73</v>
      </c>
      <c r="I17" s="10"/>
      <c r="J17" s="11" t="s">
        <v>6</v>
      </c>
      <c r="K17" s="11" t="s">
        <v>168</v>
      </c>
      <c r="L17" s="11" t="s">
        <v>169</v>
      </c>
      <c r="M17" s="10" t="s">
        <v>130</v>
      </c>
      <c r="N17" s="10" t="s">
        <v>170</v>
      </c>
    </row>
    <row r="18" customFormat="false" ht="26.85" hidden="false" customHeight="false" outlineLevel="0" collapsed="false">
      <c r="A18" s="10" t="s">
        <v>171</v>
      </c>
      <c r="B18" s="10" t="s">
        <v>18</v>
      </c>
      <c r="C18" s="5" t="s">
        <v>14</v>
      </c>
      <c r="D18" s="11" t="s">
        <v>172</v>
      </c>
      <c r="E18" s="10" t="s">
        <v>173</v>
      </c>
      <c r="F18" s="11" t="s">
        <v>174</v>
      </c>
      <c r="G18" s="11" t="s">
        <v>20</v>
      </c>
      <c r="H18" s="10" t="s">
        <v>84</v>
      </c>
      <c r="I18" s="10"/>
      <c r="J18" s="11" t="s">
        <v>6</v>
      </c>
      <c r="K18" s="11" t="s">
        <v>115</v>
      </c>
      <c r="L18" s="11" t="s">
        <v>105</v>
      </c>
      <c r="M18" s="10" t="s">
        <v>175</v>
      </c>
      <c r="N18" s="10" t="s">
        <v>176</v>
      </c>
    </row>
    <row r="19" customFormat="false" ht="26.85" hidden="false" customHeight="false" outlineLevel="0" collapsed="false">
      <c r="A19" s="2" t="s">
        <v>177</v>
      </c>
      <c r="B19" s="2" t="s">
        <v>18</v>
      </c>
      <c r="C19" s="5" t="s">
        <v>14</v>
      </c>
      <c r="D19" s="4" t="s">
        <v>178</v>
      </c>
      <c r="E19" s="4" t="s">
        <v>179</v>
      </c>
      <c r="F19" s="4" t="s">
        <v>180</v>
      </c>
      <c r="G19" s="4" t="s">
        <v>20</v>
      </c>
      <c r="H19" s="2" t="s">
        <v>181</v>
      </c>
      <c r="I19" s="2"/>
      <c r="J19" s="4" t="s">
        <v>7</v>
      </c>
      <c r="K19" s="2"/>
      <c r="L19" s="2"/>
      <c r="M19" s="2"/>
      <c r="N19" s="2"/>
    </row>
    <row r="20" customFormat="false" ht="26.85" hidden="false" customHeight="false" outlineLevel="0" collapsed="false">
      <c r="A20" s="10" t="s">
        <v>182</v>
      </c>
      <c r="B20" s="10" t="s">
        <v>22</v>
      </c>
      <c r="C20" s="5" t="s">
        <v>14</v>
      </c>
      <c r="D20" s="10" t="s">
        <v>183</v>
      </c>
      <c r="E20" s="10" t="s">
        <v>184</v>
      </c>
      <c r="F20" s="11" t="s">
        <v>185</v>
      </c>
      <c r="G20" s="11" t="s">
        <v>20</v>
      </c>
      <c r="H20" s="10" t="s">
        <v>84</v>
      </c>
      <c r="I20" s="10" t="s">
        <v>74</v>
      </c>
      <c r="J20" s="11" t="s">
        <v>6</v>
      </c>
      <c r="K20" s="11" t="s">
        <v>75</v>
      </c>
      <c r="L20" s="11" t="s">
        <v>186</v>
      </c>
      <c r="M20" s="10" t="s">
        <v>175</v>
      </c>
      <c r="N20" s="10" t="s">
        <v>187</v>
      </c>
    </row>
    <row r="21" customFormat="false" ht="26.85" hidden="false" customHeight="false" outlineLevel="0" collapsed="false">
      <c r="A21" s="10" t="s">
        <v>188</v>
      </c>
      <c r="B21" s="10" t="s">
        <v>22</v>
      </c>
      <c r="C21" s="5" t="s">
        <v>14</v>
      </c>
      <c r="D21" s="11" t="s">
        <v>189</v>
      </c>
      <c r="E21" s="10" t="s">
        <v>190</v>
      </c>
      <c r="F21" s="11" t="s">
        <v>191</v>
      </c>
      <c r="G21" s="11" t="s">
        <v>20</v>
      </c>
      <c r="H21" s="10" t="s">
        <v>84</v>
      </c>
      <c r="I21" s="10"/>
      <c r="J21" s="11" t="s">
        <v>6</v>
      </c>
      <c r="K21" s="11" t="s">
        <v>168</v>
      </c>
      <c r="L21" s="11" t="s">
        <v>192</v>
      </c>
      <c r="M21" s="10" t="s">
        <v>175</v>
      </c>
      <c r="N21" s="10" t="s">
        <v>193</v>
      </c>
    </row>
    <row r="22" customFormat="false" ht="26.85" hidden="false" customHeight="false" outlineLevel="0" collapsed="false">
      <c r="A22" s="10" t="s">
        <v>194</v>
      </c>
      <c r="B22" s="10" t="s">
        <v>22</v>
      </c>
      <c r="C22" s="5" t="s">
        <v>14</v>
      </c>
      <c r="D22" s="11" t="s">
        <v>195</v>
      </c>
      <c r="E22" s="11" t="s">
        <v>196</v>
      </c>
      <c r="F22" s="11" t="s">
        <v>197</v>
      </c>
      <c r="G22" s="11" t="s">
        <v>20</v>
      </c>
      <c r="H22" s="10" t="s">
        <v>84</v>
      </c>
      <c r="I22" s="10"/>
      <c r="J22" s="11" t="s">
        <v>6</v>
      </c>
      <c r="K22" s="11" t="s">
        <v>168</v>
      </c>
      <c r="L22" s="11" t="s">
        <v>198</v>
      </c>
      <c r="M22" s="10" t="s">
        <v>199</v>
      </c>
      <c r="N22" s="10" t="s">
        <v>200</v>
      </c>
    </row>
    <row r="23" customFormat="false" ht="15" hidden="false" customHeight="false" outlineLevel="0" collapsed="false">
      <c r="A23" s="2" t="s">
        <v>201</v>
      </c>
      <c r="B23" s="2" t="s">
        <v>22</v>
      </c>
      <c r="C23" s="5" t="s">
        <v>14</v>
      </c>
      <c r="D23" s="4" t="s">
        <v>202</v>
      </c>
      <c r="E23" s="2" t="s">
        <v>203</v>
      </c>
      <c r="F23" s="4" t="s">
        <v>204</v>
      </c>
      <c r="G23" s="4" t="s">
        <v>20</v>
      </c>
      <c r="H23" s="2" t="s">
        <v>84</v>
      </c>
      <c r="I23" s="2"/>
      <c r="J23" s="4" t="s">
        <v>7</v>
      </c>
      <c r="K23" s="2"/>
      <c r="L23" s="2"/>
      <c r="M23" s="2"/>
      <c r="N23" s="2"/>
    </row>
    <row r="24" customFormat="false" ht="26.85" hidden="false" customHeight="false" outlineLevel="0" collapsed="false">
      <c r="A24" s="10" t="s">
        <v>205</v>
      </c>
      <c r="B24" s="10" t="s">
        <v>22</v>
      </c>
      <c r="C24" s="5" t="s">
        <v>14</v>
      </c>
      <c r="D24" s="11" t="s">
        <v>206</v>
      </c>
      <c r="E24" s="11" t="s">
        <v>207</v>
      </c>
      <c r="F24" s="11" t="s">
        <v>208</v>
      </c>
      <c r="G24" s="11" t="s">
        <v>209</v>
      </c>
      <c r="H24" s="10" t="s">
        <v>73</v>
      </c>
      <c r="I24" s="10"/>
      <c r="J24" s="11" t="s">
        <v>6</v>
      </c>
      <c r="K24" s="11" t="s">
        <v>168</v>
      </c>
      <c r="L24" s="11" t="s">
        <v>136</v>
      </c>
      <c r="M24" s="10" t="s">
        <v>130</v>
      </c>
      <c r="N24" s="10" t="s">
        <v>210</v>
      </c>
    </row>
    <row r="25" customFormat="false" ht="26.85" hidden="false" customHeight="false" outlineLevel="0" collapsed="false">
      <c r="A25" s="10" t="s">
        <v>211</v>
      </c>
      <c r="B25" s="10" t="s">
        <v>25</v>
      </c>
      <c r="C25" s="6" t="s">
        <v>26</v>
      </c>
      <c r="D25" s="11" t="s">
        <v>212</v>
      </c>
      <c r="E25" s="11" t="s">
        <v>213</v>
      </c>
      <c r="F25" s="11" t="s">
        <v>214</v>
      </c>
      <c r="G25" s="11" t="s">
        <v>83</v>
      </c>
      <c r="H25" s="10" t="s">
        <v>84</v>
      </c>
      <c r="I25" s="10" t="s">
        <v>74</v>
      </c>
      <c r="J25" s="11" t="s">
        <v>6</v>
      </c>
      <c r="K25" s="11" t="s">
        <v>168</v>
      </c>
      <c r="L25" s="11" t="s">
        <v>86</v>
      </c>
      <c r="M25" s="10" t="s">
        <v>199</v>
      </c>
      <c r="N25" s="10" t="s">
        <v>215</v>
      </c>
    </row>
    <row r="26" customFormat="false" ht="26.85" hidden="false" customHeight="false" outlineLevel="0" collapsed="false">
      <c r="A26" s="10" t="s">
        <v>216</v>
      </c>
      <c r="B26" s="10" t="s">
        <v>25</v>
      </c>
      <c r="C26" s="6" t="s">
        <v>26</v>
      </c>
      <c r="D26" s="10" t="s">
        <v>217</v>
      </c>
      <c r="E26" s="11" t="s">
        <v>218</v>
      </c>
      <c r="F26" s="11" t="s">
        <v>219</v>
      </c>
      <c r="G26" s="11" t="s">
        <v>220</v>
      </c>
      <c r="H26" s="10" t="s">
        <v>73</v>
      </c>
      <c r="I26" s="10" t="s">
        <v>74</v>
      </c>
      <c r="J26" s="11" t="s">
        <v>6</v>
      </c>
      <c r="K26" s="11" t="s">
        <v>115</v>
      </c>
      <c r="L26" s="11" t="s">
        <v>86</v>
      </c>
      <c r="M26" s="10" t="s">
        <v>77</v>
      </c>
      <c r="N26" s="10" t="s">
        <v>221</v>
      </c>
    </row>
    <row r="27" customFormat="false" ht="26.85" hidden="false" customHeight="false" outlineLevel="0" collapsed="false">
      <c r="A27" s="2" t="s">
        <v>222</v>
      </c>
      <c r="B27" s="2" t="s">
        <v>25</v>
      </c>
      <c r="C27" s="6" t="s">
        <v>26</v>
      </c>
      <c r="D27" s="4" t="s">
        <v>223</v>
      </c>
      <c r="E27" s="4" t="s">
        <v>224</v>
      </c>
      <c r="F27" s="4" t="s">
        <v>225</v>
      </c>
      <c r="G27" s="4" t="s">
        <v>20</v>
      </c>
      <c r="H27" s="2" t="s">
        <v>84</v>
      </c>
      <c r="I27" s="2"/>
      <c r="J27" s="4" t="s">
        <v>7</v>
      </c>
      <c r="K27" s="2"/>
      <c r="L27" s="2"/>
      <c r="M27" s="2"/>
      <c r="N27" s="2"/>
    </row>
    <row r="28" customFormat="false" ht="26.85" hidden="false" customHeight="false" outlineLevel="0" collapsed="false">
      <c r="A28" s="10" t="s">
        <v>226</v>
      </c>
      <c r="B28" s="10" t="s">
        <v>25</v>
      </c>
      <c r="C28" s="6" t="s">
        <v>26</v>
      </c>
      <c r="D28" s="11" t="s">
        <v>227</v>
      </c>
      <c r="E28" s="10" t="s">
        <v>228</v>
      </c>
      <c r="F28" s="11" t="s">
        <v>229</v>
      </c>
      <c r="G28" s="11" t="s">
        <v>83</v>
      </c>
      <c r="H28" s="10" t="s">
        <v>84</v>
      </c>
      <c r="I28" s="10"/>
      <c r="J28" s="11" t="s">
        <v>6</v>
      </c>
      <c r="K28" s="11" t="s">
        <v>168</v>
      </c>
      <c r="L28" s="11" t="s">
        <v>116</v>
      </c>
      <c r="M28" s="10" t="s">
        <v>117</v>
      </c>
      <c r="N28" s="10" t="s">
        <v>230</v>
      </c>
    </row>
    <row r="29" customFormat="false" ht="26.85" hidden="false" customHeight="false" outlineLevel="0" collapsed="false">
      <c r="A29" s="2" t="s">
        <v>231</v>
      </c>
      <c r="B29" s="2" t="s">
        <v>25</v>
      </c>
      <c r="C29" s="6" t="s">
        <v>26</v>
      </c>
      <c r="D29" s="2" t="s">
        <v>232</v>
      </c>
      <c r="E29" s="4" t="s">
        <v>233</v>
      </c>
      <c r="F29" s="4" t="s">
        <v>234</v>
      </c>
      <c r="G29" s="4" t="s">
        <v>48</v>
      </c>
      <c r="H29" s="2" t="s">
        <v>73</v>
      </c>
      <c r="I29" s="2"/>
      <c r="J29" s="4" t="s">
        <v>7</v>
      </c>
      <c r="K29" s="2"/>
      <c r="L29" s="2"/>
      <c r="M29" s="2"/>
      <c r="N29" s="2"/>
    </row>
    <row r="30" customFormat="false" ht="26.85" hidden="false" customHeight="false" outlineLevel="0" collapsed="false">
      <c r="A30" s="10" t="s">
        <v>235</v>
      </c>
      <c r="B30" s="10" t="s">
        <v>25</v>
      </c>
      <c r="C30" s="6" t="s">
        <v>26</v>
      </c>
      <c r="D30" s="11" t="s">
        <v>236</v>
      </c>
      <c r="E30" s="10" t="s">
        <v>237</v>
      </c>
      <c r="F30" s="11" t="s">
        <v>238</v>
      </c>
      <c r="G30" s="11" t="s">
        <v>83</v>
      </c>
      <c r="H30" s="10" t="s">
        <v>73</v>
      </c>
      <c r="I30" s="10"/>
      <c r="J30" s="11" t="s">
        <v>6</v>
      </c>
      <c r="K30" s="11" t="s">
        <v>239</v>
      </c>
      <c r="L30" s="11" t="s">
        <v>76</v>
      </c>
      <c r="M30" s="10" t="s">
        <v>130</v>
      </c>
      <c r="N30" s="10" t="s">
        <v>240</v>
      </c>
    </row>
    <row r="31" customFormat="false" ht="26.85" hidden="false" customHeight="false" outlineLevel="0" collapsed="false">
      <c r="A31" s="10" t="s">
        <v>241</v>
      </c>
      <c r="B31" s="10" t="s">
        <v>29</v>
      </c>
      <c r="C31" s="6" t="s">
        <v>26</v>
      </c>
      <c r="D31" s="11" t="s">
        <v>242</v>
      </c>
      <c r="E31" s="11" t="s">
        <v>243</v>
      </c>
      <c r="F31" s="11" t="s">
        <v>244</v>
      </c>
      <c r="G31" s="11" t="s">
        <v>83</v>
      </c>
      <c r="H31" s="10" t="s">
        <v>73</v>
      </c>
      <c r="I31" s="10" t="s">
        <v>74</v>
      </c>
      <c r="J31" s="11" t="s">
        <v>6</v>
      </c>
      <c r="K31" s="11" t="s">
        <v>75</v>
      </c>
      <c r="L31" s="11" t="s">
        <v>198</v>
      </c>
      <c r="M31" s="10" t="s">
        <v>199</v>
      </c>
      <c r="N31" s="10" t="s">
        <v>245</v>
      </c>
    </row>
    <row r="32" customFormat="false" ht="26.85" hidden="false" customHeight="false" outlineLevel="0" collapsed="false">
      <c r="A32" s="10" t="s">
        <v>246</v>
      </c>
      <c r="B32" s="10" t="s">
        <v>29</v>
      </c>
      <c r="C32" s="6" t="s">
        <v>26</v>
      </c>
      <c r="D32" s="11" t="s">
        <v>247</v>
      </c>
      <c r="E32" s="11" t="s">
        <v>248</v>
      </c>
      <c r="F32" s="11" t="s">
        <v>249</v>
      </c>
      <c r="G32" s="11" t="s">
        <v>83</v>
      </c>
      <c r="H32" s="10" t="s">
        <v>73</v>
      </c>
      <c r="I32" s="10" t="s">
        <v>74</v>
      </c>
      <c r="J32" s="11" t="s">
        <v>6</v>
      </c>
      <c r="K32" s="11" t="s">
        <v>75</v>
      </c>
      <c r="L32" s="11" t="s">
        <v>116</v>
      </c>
      <c r="M32" s="10" t="s">
        <v>130</v>
      </c>
      <c r="N32" s="10" t="s">
        <v>250</v>
      </c>
    </row>
    <row r="33" customFormat="false" ht="26.85" hidden="false" customHeight="false" outlineLevel="0" collapsed="false">
      <c r="A33" s="10" t="s">
        <v>251</v>
      </c>
      <c r="B33" s="10" t="s">
        <v>29</v>
      </c>
      <c r="C33" s="6" t="s">
        <v>26</v>
      </c>
      <c r="D33" s="11" t="s">
        <v>252</v>
      </c>
      <c r="E33" s="11" t="s">
        <v>253</v>
      </c>
      <c r="F33" s="11" t="s">
        <v>254</v>
      </c>
      <c r="G33" s="11" t="s">
        <v>48</v>
      </c>
      <c r="H33" s="10" t="s">
        <v>84</v>
      </c>
      <c r="I33" s="10"/>
      <c r="J33" s="11" t="s">
        <v>6</v>
      </c>
      <c r="K33" s="11" t="s">
        <v>96</v>
      </c>
      <c r="L33" s="11" t="s">
        <v>255</v>
      </c>
      <c r="M33" s="10" t="s">
        <v>199</v>
      </c>
      <c r="N33" s="10" t="s">
        <v>256</v>
      </c>
    </row>
    <row r="34" customFormat="false" ht="26.85" hidden="false" customHeight="false" outlineLevel="0" collapsed="false">
      <c r="A34" s="2" t="s">
        <v>257</v>
      </c>
      <c r="B34" s="2" t="s">
        <v>29</v>
      </c>
      <c r="C34" s="6" t="s">
        <v>26</v>
      </c>
      <c r="D34" s="4" t="s">
        <v>258</v>
      </c>
      <c r="E34" s="4" t="s">
        <v>259</v>
      </c>
      <c r="F34" s="4" t="s">
        <v>260</v>
      </c>
      <c r="G34" s="4" t="s">
        <v>83</v>
      </c>
      <c r="H34" s="2" t="s">
        <v>73</v>
      </c>
      <c r="I34" s="2"/>
      <c r="J34" s="4" t="s">
        <v>7</v>
      </c>
      <c r="K34" s="2"/>
      <c r="L34" s="2"/>
      <c r="M34" s="2"/>
      <c r="N34" s="2"/>
    </row>
    <row r="35" customFormat="false" ht="26.85" hidden="false" customHeight="false" outlineLevel="0" collapsed="false">
      <c r="A35" s="10" t="s">
        <v>261</v>
      </c>
      <c r="B35" s="10" t="s">
        <v>29</v>
      </c>
      <c r="C35" s="6" t="s">
        <v>26</v>
      </c>
      <c r="D35" s="10" t="s">
        <v>262</v>
      </c>
      <c r="E35" s="11" t="s">
        <v>263</v>
      </c>
      <c r="F35" s="11" t="s">
        <v>264</v>
      </c>
      <c r="G35" s="11" t="s">
        <v>20</v>
      </c>
      <c r="H35" s="10" t="s">
        <v>73</v>
      </c>
      <c r="I35" s="10"/>
      <c r="J35" s="11" t="s">
        <v>6</v>
      </c>
      <c r="K35" s="11" t="s">
        <v>168</v>
      </c>
      <c r="L35" s="11" t="s">
        <v>76</v>
      </c>
      <c r="M35" s="10" t="s">
        <v>77</v>
      </c>
      <c r="N35" s="10" t="s">
        <v>265</v>
      </c>
    </row>
    <row r="36" customFormat="false" ht="26.85" hidden="false" customHeight="false" outlineLevel="0" collapsed="false">
      <c r="A36" s="10" t="s">
        <v>266</v>
      </c>
      <c r="B36" s="10" t="s">
        <v>29</v>
      </c>
      <c r="C36" s="6" t="s">
        <v>26</v>
      </c>
      <c r="D36" s="11" t="s">
        <v>267</v>
      </c>
      <c r="E36" s="10" t="s">
        <v>268</v>
      </c>
      <c r="F36" s="11" t="s">
        <v>269</v>
      </c>
      <c r="G36" s="11" t="s">
        <v>20</v>
      </c>
      <c r="H36" s="10" t="s">
        <v>73</v>
      </c>
      <c r="I36" s="10"/>
      <c r="J36" s="11" t="s">
        <v>6</v>
      </c>
      <c r="K36" s="11" t="s">
        <v>239</v>
      </c>
      <c r="L36" s="11" t="s">
        <v>198</v>
      </c>
      <c r="M36" s="10" t="s">
        <v>175</v>
      </c>
      <c r="N36" s="10" t="s">
        <v>270</v>
      </c>
    </row>
    <row r="37" customFormat="false" ht="26.85" hidden="false" customHeight="false" outlineLevel="0" collapsed="false">
      <c r="A37" s="10" t="s">
        <v>271</v>
      </c>
      <c r="B37" s="10" t="s">
        <v>33</v>
      </c>
      <c r="C37" s="3" t="s">
        <v>9</v>
      </c>
      <c r="D37" s="10" t="s">
        <v>272</v>
      </c>
      <c r="E37" s="11" t="s">
        <v>273</v>
      </c>
      <c r="F37" s="11" t="s">
        <v>274</v>
      </c>
      <c r="G37" s="11" t="s">
        <v>275</v>
      </c>
      <c r="H37" s="10" t="s">
        <v>73</v>
      </c>
      <c r="I37" s="10" t="s">
        <v>74</v>
      </c>
      <c r="J37" s="11" t="s">
        <v>6</v>
      </c>
      <c r="K37" s="11" t="s">
        <v>75</v>
      </c>
      <c r="L37" s="11" t="s">
        <v>123</v>
      </c>
      <c r="M37" s="10" t="s">
        <v>77</v>
      </c>
      <c r="N37" s="10" t="s">
        <v>276</v>
      </c>
    </row>
    <row r="38" customFormat="false" ht="26.85" hidden="false" customHeight="false" outlineLevel="0" collapsed="false">
      <c r="A38" s="10" t="s">
        <v>277</v>
      </c>
      <c r="B38" s="10" t="s">
        <v>33</v>
      </c>
      <c r="C38" s="3" t="s">
        <v>9</v>
      </c>
      <c r="D38" s="11" t="s">
        <v>278</v>
      </c>
      <c r="E38" s="11" t="s">
        <v>279</v>
      </c>
      <c r="F38" s="11" t="s">
        <v>280</v>
      </c>
      <c r="G38" s="11" t="s">
        <v>83</v>
      </c>
      <c r="H38" s="10" t="s">
        <v>84</v>
      </c>
      <c r="I38" s="10" t="s">
        <v>74</v>
      </c>
      <c r="J38" s="11" t="s">
        <v>6</v>
      </c>
      <c r="K38" s="11" t="s">
        <v>115</v>
      </c>
      <c r="L38" s="11" t="s">
        <v>136</v>
      </c>
      <c r="M38" s="10" t="s">
        <v>117</v>
      </c>
      <c r="N38" s="10" t="s">
        <v>281</v>
      </c>
    </row>
    <row r="39" customFormat="false" ht="26.85" hidden="false" customHeight="false" outlineLevel="0" collapsed="false">
      <c r="A39" s="10" t="s">
        <v>282</v>
      </c>
      <c r="B39" s="10" t="s">
        <v>33</v>
      </c>
      <c r="C39" s="3" t="s">
        <v>9</v>
      </c>
      <c r="D39" s="11" t="s">
        <v>283</v>
      </c>
      <c r="E39" s="10" t="s">
        <v>284</v>
      </c>
      <c r="F39" s="11" t="s">
        <v>285</v>
      </c>
      <c r="G39" s="11" t="s">
        <v>83</v>
      </c>
      <c r="H39" s="10" t="s">
        <v>73</v>
      </c>
      <c r="I39" s="10"/>
      <c r="J39" s="11" t="s">
        <v>6</v>
      </c>
      <c r="K39" s="11" t="s">
        <v>96</v>
      </c>
      <c r="L39" s="11" t="s">
        <v>123</v>
      </c>
      <c r="M39" s="10" t="s">
        <v>77</v>
      </c>
      <c r="N39" s="10" t="s">
        <v>286</v>
      </c>
    </row>
    <row r="40" customFormat="false" ht="26.85" hidden="false" customHeight="false" outlineLevel="0" collapsed="false">
      <c r="A40" s="2" t="s">
        <v>287</v>
      </c>
      <c r="B40" s="2" t="s">
        <v>33</v>
      </c>
      <c r="C40" s="3" t="s">
        <v>9</v>
      </c>
      <c r="D40" s="4" t="s">
        <v>288</v>
      </c>
      <c r="E40" s="4" t="s">
        <v>289</v>
      </c>
      <c r="F40" s="2" t="s">
        <v>290</v>
      </c>
      <c r="G40" s="4" t="s">
        <v>48</v>
      </c>
      <c r="H40" s="2" t="s">
        <v>84</v>
      </c>
      <c r="I40" s="2"/>
      <c r="J40" s="4" t="s">
        <v>7</v>
      </c>
      <c r="K40" s="2"/>
      <c r="L40" s="2"/>
      <c r="M40" s="2"/>
      <c r="N40" s="2"/>
    </row>
    <row r="41" customFormat="false" ht="15" hidden="false" customHeight="false" outlineLevel="0" collapsed="false">
      <c r="A41" s="10" t="s">
        <v>291</v>
      </c>
      <c r="B41" s="10" t="s">
        <v>33</v>
      </c>
      <c r="C41" s="3" t="s">
        <v>9</v>
      </c>
      <c r="D41" s="11" t="s">
        <v>292</v>
      </c>
      <c r="E41" s="11" t="s">
        <v>293</v>
      </c>
      <c r="F41" s="11" t="s">
        <v>294</v>
      </c>
      <c r="G41" s="11" t="s">
        <v>220</v>
      </c>
      <c r="H41" s="10" t="s">
        <v>84</v>
      </c>
      <c r="I41" s="10"/>
      <c r="J41" s="11" t="s">
        <v>6</v>
      </c>
      <c r="K41" s="11" t="s">
        <v>115</v>
      </c>
      <c r="L41" s="11" t="s">
        <v>295</v>
      </c>
      <c r="M41" s="10" t="s">
        <v>130</v>
      </c>
      <c r="N41" s="10" t="s">
        <v>296</v>
      </c>
    </row>
    <row r="42" customFormat="false" ht="26.85" hidden="false" customHeight="false" outlineLevel="0" collapsed="false">
      <c r="A42" s="10" t="s">
        <v>297</v>
      </c>
      <c r="B42" s="10" t="s">
        <v>36</v>
      </c>
      <c r="C42" s="3" t="s">
        <v>9</v>
      </c>
      <c r="D42" s="11" t="s">
        <v>298</v>
      </c>
      <c r="E42" s="11" t="s">
        <v>299</v>
      </c>
      <c r="F42" s="11" t="s">
        <v>300</v>
      </c>
      <c r="G42" s="11" t="s">
        <v>48</v>
      </c>
      <c r="H42" s="10" t="s">
        <v>73</v>
      </c>
      <c r="I42" s="10" t="s">
        <v>74</v>
      </c>
      <c r="J42" s="11" t="s">
        <v>6</v>
      </c>
      <c r="K42" s="11" t="s">
        <v>168</v>
      </c>
      <c r="L42" s="11" t="s">
        <v>301</v>
      </c>
      <c r="M42" s="10" t="s">
        <v>199</v>
      </c>
      <c r="N42" s="10" t="s">
        <v>302</v>
      </c>
    </row>
    <row r="43" customFormat="false" ht="26.85" hidden="false" customHeight="false" outlineLevel="0" collapsed="false">
      <c r="A43" s="10" t="s">
        <v>303</v>
      </c>
      <c r="B43" s="10" t="s">
        <v>36</v>
      </c>
      <c r="C43" s="3" t="s">
        <v>9</v>
      </c>
      <c r="D43" s="11" t="s">
        <v>304</v>
      </c>
      <c r="E43" s="11" t="s">
        <v>305</v>
      </c>
      <c r="F43" s="11" t="s">
        <v>306</v>
      </c>
      <c r="G43" s="11" t="s">
        <v>220</v>
      </c>
      <c r="H43" s="10" t="s">
        <v>73</v>
      </c>
      <c r="I43" s="10" t="s">
        <v>74</v>
      </c>
      <c r="J43" s="11" t="s">
        <v>6</v>
      </c>
      <c r="K43" s="11" t="s">
        <v>75</v>
      </c>
      <c r="L43" s="11" t="s">
        <v>105</v>
      </c>
      <c r="M43" s="10" t="s">
        <v>98</v>
      </c>
      <c r="N43" s="10" t="s">
        <v>307</v>
      </c>
    </row>
    <row r="44" customFormat="false" ht="15" hidden="false" customHeight="false" outlineLevel="0" collapsed="false">
      <c r="A44" s="2" t="s">
        <v>308</v>
      </c>
      <c r="B44" s="2" t="s">
        <v>36</v>
      </c>
      <c r="C44" s="3" t="s">
        <v>9</v>
      </c>
      <c r="D44" s="4" t="s">
        <v>309</v>
      </c>
      <c r="E44" s="4" t="s">
        <v>310</v>
      </c>
      <c r="F44" s="4" t="s">
        <v>311</v>
      </c>
      <c r="G44" s="4" t="s">
        <v>48</v>
      </c>
      <c r="H44" s="2" t="s">
        <v>84</v>
      </c>
      <c r="I44" s="2"/>
      <c r="J44" s="4" t="s">
        <v>7</v>
      </c>
      <c r="K44" s="2"/>
      <c r="L44" s="2"/>
      <c r="M44" s="2"/>
      <c r="N44" s="2"/>
    </row>
    <row r="45" customFormat="false" ht="15" hidden="false" customHeight="false" outlineLevel="0" collapsed="false">
      <c r="A45" s="2" t="s">
        <v>312</v>
      </c>
      <c r="B45" s="2" t="s">
        <v>36</v>
      </c>
      <c r="C45" s="3" t="s">
        <v>9</v>
      </c>
      <c r="D45" s="4" t="s">
        <v>313</v>
      </c>
      <c r="E45" s="4" t="s">
        <v>314</v>
      </c>
      <c r="F45" s="4" t="s">
        <v>315</v>
      </c>
      <c r="G45" s="4" t="s">
        <v>20</v>
      </c>
      <c r="H45" s="2" t="s">
        <v>84</v>
      </c>
      <c r="I45" s="2"/>
      <c r="J45" s="4" t="s">
        <v>7</v>
      </c>
      <c r="K45" s="2"/>
      <c r="L45" s="2"/>
      <c r="M45" s="2"/>
      <c r="N45" s="2"/>
    </row>
    <row r="46" customFormat="false" ht="26.85" hidden="false" customHeight="false" outlineLevel="0" collapsed="false">
      <c r="A46" s="10" t="s">
        <v>316</v>
      </c>
      <c r="B46" s="10" t="s">
        <v>39</v>
      </c>
      <c r="C46" s="3" t="s">
        <v>9</v>
      </c>
      <c r="D46" s="11" t="s">
        <v>317</v>
      </c>
      <c r="E46" s="11" t="s">
        <v>318</v>
      </c>
      <c r="F46" s="11" t="s">
        <v>319</v>
      </c>
      <c r="G46" s="11" t="s">
        <v>220</v>
      </c>
      <c r="H46" s="10" t="s">
        <v>73</v>
      </c>
      <c r="I46" s="10" t="s">
        <v>74</v>
      </c>
      <c r="J46" s="11" t="s">
        <v>6</v>
      </c>
      <c r="K46" s="11" t="s">
        <v>115</v>
      </c>
      <c r="L46" s="11" t="s">
        <v>320</v>
      </c>
      <c r="M46" s="10" t="s">
        <v>98</v>
      </c>
      <c r="N46" s="10" t="s">
        <v>321</v>
      </c>
    </row>
    <row r="47" customFormat="false" ht="26.85" hidden="false" customHeight="false" outlineLevel="0" collapsed="false">
      <c r="A47" s="10" t="s">
        <v>322</v>
      </c>
      <c r="B47" s="10" t="s">
        <v>39</v>
      </c>
      <c r="C47" s="3" t="s">
        <v>9</v>
      </c>
      <c r="D47" s="11" t="s">
        <v>323</v>
      </c>
      <c r="E47" s="11" t="s">
        <v>324</v>
      </c>
      <c r="F47" s="11" t="s">
        <v>325</v>
      </c>
      <c r="G47" s="11" t="s">
        <v>326</v>
      </c>
      <c r="H47" s="10" t="s">
        <v>73</v>
      </c>
      <c r="I47" s="10"/>
      <c r="J47" s="11" t="s">
        <v>6</v>
      </c>
      <c r="K47" s="11" t="s">
        <v>96</v>
      </c>
      <c r="L47" s="11" t="s">
        <v>116</v>
      </c>
      <c r="M47" s="10" t="s">
        <v>98</v>
      </c>
      <c r="N47" s="10" t="s">
        <v>327</v>
      </c>
    </row>
    <row r="48" customFormat="false" ht="15" hidden="false" customHeight="false" outlineLevel="0" collapsed="false">
      <c r="A48" s="2" t="s">
        <v>328</v>
      </c>
      <c r="B48" s="2" t="s">
        <v>39</v>
      </c>
      <c r="C48" s="3" t="s">
        <v>9</v>
      </c>
      <c r="D48" s="4" t="s">
        <v>329</v>
      </c>
      <c r="E48" s="4" t="s">
        <v>330</v>
      </c>
      <c r="F48" s="4" t="s">
        <v>331</v>
      </c>
      <c r="G48" s="4" t="s">
        <v>83</v>
      </c>
      <c r="H48" s="2" t="s">
        <v>84</v>
      </c>
      <c r="I48" s="2"/>
      <c r="J48" s="4" t="s">
        <v>7</v>
      </c>
      <c r="K48" s="2"/>
      <c r="L48" s="2"/>
      <c r="M48" s="2"/>
      <c r="N48" s="2"/>
    </row>
    <row r="49" customFormat="false" ht="15" hidden="false" customHeight="false" outlineLevel="0" collapsed="false">
      <c r="A49" s="10" t="s">
        <v>332</v>
      </c>
      <c r="B49" s="10" t="s">
        <v>39</v>
      </c>
      <c r="C49" s="3" t="s">
        <v>9</v>
      </c>
      <c r="D49" s="11" t="s">
        <v>333</v>
      </c>
      <c r="E49" s="10" t="s">
        <v>334</v>
      </c>
      <c r="F49" s="11" t="s">
        <v>335</v>
      </c>
      <c r="G49" s="11" t="s">
        <v>336</v>
      </c>
      <c r="H49" s="10" t="s">
        <v>84</v>
      </c>
      <c r="I49" s="10"/>
      <c r="J49" s="11" t="s">
        <v>6</v>
      </c>
      <c r="K49" s="11" t="s">
        <v>239</v>
      </c>
      <c r="L49" s="11" t="s">
        <v>86</v>
      </c>
      <c r="M49" s="10" t="s">
        <v>77</v>
      </c>
      <c r="N49" s="10" t="s">
        <v>337</v>
      </c>
    </row>
    <row r="50" customFormat="false" ht="15" hidden="false" customHeight="false" outlineLevel="0" collapsed="false">
      <c r="A50" s="2" t="s">
        <v>338</v>
      </c>
      <c r="B50" s="2" t="s">
        <v>39</v>
      </c>
      <c r="C50" s="3" t="s">
        <v>9</v>
      </c>
      <c r="D50" s="4" t="s">
        <v>339</v>
      </c>
      <c r="E50" s="4" t="s">
        <v>340</v>
      </c>
      <c r="F50" s="4" t="s">
        <v>341</v>
      </c>
      <c r="G50" s="4" t="s">
        <v>48</v>
      </c>
      <c r="H50" s="2" t="s">
        <v>84</v>
      </c>
      <c r="I50" s="2"/>
      <c r="J50" s="4" t="s">
        <v>7</v>
      </c>
      <c r="K50" s="2"/>
      <c r="L50" s="2"/>
      <c r="M50" s="2"/>
      <c r="N50" s="2"/>
    </row>
    <row r="51" customFormat="false" ht="26.85" hidden="false" customHeight="false" outlineLevel="0" collapsed="false">
      <c r="A51" s="10" t="s">
        <v>342</v>
      </c>
      <c r="B51" s="10" t="s">
        <v>39</v>
      </c>
      <c r="C51" s="3" t="s">
        <v>9</v>
      </c>
      <c r="D51" s="11" t="s">
        <v>343</v>
      </c>
      <c r="E51" s="11" t="s">
        <v>344</v>
      </c>
      <c r="F51" s="11" t="s">
        <v>345</v>
      </c>
      <c r="G51" s="11" t="s">
        <v>83</v>
      </c>
      <c r="H51" s="10" t="s">
        <v>73</v>
      </c>
      <c r="I51" s="10"/>
      <c r="J51" s="11" t="s">
        <v>6</v>
      </c>
      <c r="K51" s="11" t="s">
        <v>239</v>
      </c>
      <c r="L51" s="11" t="s">
        <v>346</v>
      </c>
      <c r="M51" s="10" t="s">
        <v>77</v>
      </c>
      <c r="N51" s="10" t="s">
        <v>347</v>
      </c>
    </row>
    <row r="52" customFormat="false" ht="26.85" hidden="false" customHeight="false" outlineLevel="0" collapsed="false">
      <c r="A52" s="10" t="s">
        <v>348</v>
      </c>
      <c r="B52" s="10" t="s">
        <v>39</v>
      </c>
      <c r="C52" s="3" t="s">
        <v>9</v>
      </c>
      <c r="D52" s="11" t="s">
        <v>349</v>
      </c>
      <c r="E52" s="10" t="s">
        <v>350</v>
      </c>
      <c r="F52" s="11" t="s">
        <v>351</v>
      </c>
      <c r="G52" s="11" t="s">
        <v>20</v>
      </c>
      <c r="H52" s="10" t="s">
        <v>84</v>
      </c>
      <c r="I52" s="10"/>
      <c r="J52" s="11" t="s">
        <v>6</v>
      </c>
      <c r="K52" s="11" t="s">
        <v>239</v>
      </c>
      <c r="L52" s="11" t="s">
        <v>346</v>
      </c>
      <c r="M52" s="10" t="s">
        <v>175</v>
      </c>
      <c r="N52" s="10" t="s">
        <v>352</v>
      </c>
    </row>
    <row r="53" customFormat="false" ht="26.85" hidden="false" customHeight="false" outlineLevel="0" collapsed="false">
      <c r="A53" s="10" t="s">
        <v>353</v>
      </c>
      <c r="B53" s="10" t="s">
        <v>39</v>
      </c>
      <c r="C53" s="3" t="s">
        <v>9</v>
      </c>
      <c r="D53" s="11" t="s">
        <v>354</v>
      </c>
      <c r="E53" s="10" t="s">
        <v>355</v>
      </c>
      <c r="F53" s="11" t="s">
        <v>356</v>
      </c>
      <c r="G53" s="11" t="s">
        <v>20</v>
      </c>
      <c r="H53" s="10" t="s">
        <v>73</v>
      </c>
      <c r="I53" s="10"/>
      <c r="J53" s="11" t="s">
        <v>6</v>
      </c>
      <c r="K53" s="11" t="s">
        <v>168</v>
      </c>
      <c r="L53" s="11" t="s">
        <v>346</v>
      </c>
      <c r="M53" s="10" t="s">
        <v>199</v>
      </c>
      <c r="N53" s="10" t="s">
        <v>357</v>
      </c>
    </row>
    <row r="54" customFormat="false" ht="26.85" hidden="false" customHeight="false" outlineLevel="0" collapsed="false">
      <c r="A54" s="10" t="s">
        <v>358</v>
      </c>
      <c r="B54" s="10" t="s">
        <v>42</v>
      </c>
      <c r="C54" s="6" t="s">
        <v>26</v>
      </c>
      <c r="D54" s="11" t="s">
        <v>359</v>
      </c>
      <c r="E54" s="11" t="s">
        <v>360</v>
      </c>
      <c r="F54" s="11" t="s">
        <v>361</v>
      </c>
      <c r="G54" s="11" t="s">
        <v>362</v>
      </c>
      <c r="H54" s="10" t="s">
        <v>73</v>
      </c>
      <c r="I54" s="10" t="s">
        <v>74</v>
      </c>
      <c r="J54" s="11" t="s">
        <v>6</v>
      </c>
      <c r="K54" s="11" t="s">
        <v>75</v>
      </c>
      <c r="L54" s="11" t="s">
        <v>136</v>
      </c>
      <c r="M54" s="10" t="s">
        <v>117</v>
      </c>
      <c r="N54" s="10" t="s">
        <v>363</v>
      </c>
    </row>
    <row r="55" customFormat="false" ht="26.85" hidden="false" customHeight="false" outlineLevel="0" collapsed="false">
      <c r="A55" s="10" t="s">
        <v>364</v>
      </c>
      <c r="B55" s="10" t="s">
        <v>42</v>
      </c>
      <c r="C55" s="6" t="s">
        <v>26</v>
      </c>
      <c r="D55" s="11" t="s">
        <v>365</v>
      </c>
      <c r="E55" s="11" t="s">
        <v>366</v>
      </c>
      <c r="F55" s="11" t="s">
        <v>367</v>
      </c>
      <c r="G55" s="11" t="s">
        <v>20</v>
      </c>
      <c r="H55" s="10" t="s">
        <v>84</v>
      </c>
      <c r="I55" s="10" t="s">
        <v>74</v>
      </c>
      <c r="J55" s="11" t="s">
        <v>6</v>
      </c>
      <c r="K55" s="11" t="s">
        <v>96</v>
      </c>
      <c r="L55" s="11" t="s">
        <v>368</v>
      </c>
      <c r="M55" s="10" t="s">
        <v>130</v>
      </c>
      <c r="N55" s="10" t="s">
        <v>369</v>
      </c>
    </row>
    <row r="56" customFormat="false" ht="26.85" hidden="false" customHeight="false" outlineLevel="0" collapsed="false">
      <c r="A56" s="10" t="s">
        <v>370</v>
      </c>
      <c r="B56" s="10" t="s">
        <v>42</v>
      </c>
      <c r="C56" s="6" t="s">
        <v>26</v>
      </c>
      <c r="D56" s="11" t="s">
        <v>371</v>
      </c>
      <c r="E56" s="11" t="s">
        <v>372</v>
      </c>
      <c r="F56" s="11" t="s">
        <v>373</v>
      </c>
      <c r="G56" s="11" t="s">
        <v>20</v>
      </c>
      <c r="H56" s="10" t="s">
        <v>84</v>
      </c>
      <c r="I56" s="10"/>
      <c r="J56" s="11" t="s">
        <v>6</v>
      </c>
      <c r="K56" s="11" t="s">
        <v>115</v>
      </c>
      <c r="L56" s="11" t="s">
        <v>76</v>
      </c>
      <c r="M56" s="10" t="s">
        <v>130</v>
      </c>
      <c r="N56" s="10" t="s">
        <v>374</v>
      </c>
    </row>
    <row r="57" customFormat="false" ht="26.85" hidden="false" customHeight="false" outlineLevel="0" collapsed="false">
      <c r="A57" s="2" t="s">
        <v>375</v>
      </c>
      <c r="B57" s="2" t="s">
        <v>42</v>
      </c>
      <c r="C57" s="6" t="s">
        <v>26</v>
      </c>
      <c r="D57" s="4" t="s">
        <v>376</v>
      </c>
      <c r="E57" s="4" t="s">
        <v>377</v>
      </c>
      <c r="F57" s="4" t="s">
        <v>378</v>
      </c>
      <c r="G57" s="4" t="s">
        <v>220</v>
      </c>
      <c r="H57" s="2" t="s">
        <v>73</v>
      </c>
      <c r="I57" s="2"/>
      <c r="J57" s="4" t="s">
        <v>7</v>
      </c>
      <c r="K57" s="2"/>
      <c r="L57" s="2"/>
      <c r="M57" s="2"/>
      <c r="N57" s="2"/>
    </row>
    <row r="58" customFormat="false" ht="26.85" hidden="false" customHeight="false" outlineLevel="0" collapsed="false">
      <c r="A58" s="10" t="s">
        <v>379</v>
      </c>
      <c r="B58" s="10" t="s">
        <v>42</v>
      </c>
      <c r="C58" s="6" t="s">
        <v>26</v>
      </c>
      <c r="D58" s="11" t="s">
        <v>380</v>
      </c>
      <c r="E58" s="10" t="s">
        <v>381</v>
      </c>
      <c r="F58" s="11" t="s">
        <v>382</v>
      </c>
      <c r="G58" s="11" t="s">
        <v>20</v>
      </c>
      <c r="H58" s="10" t="s">
        <v>84</v>
      </c>
      <c r="I58" s="10"/>
      <c r="J58" s="11" t="s">
        <v>6</v>
      </c>
      <c r="K58" s="11" t="s">
        <v>96</v>
      </c>
      <c r="L58" s="11" t="s">
        <v>192</v>
      </c>
      <c r="M58" s="10" t="s">
        <v>175</v>
      </c>
      <c r="N58" s="10" t="s">
        <v>383</v>
      </c>
    </row>
    <row r="59" customFormat="false" ht="26.85" hidden="false" customHeight="false" outlineLevel="0" collapsed="false">
      <c r="A59" s="10" t="s">
        <v>384</v>
      </c>
      <c r="B59" s="10" t="s">
        <v>46</v>
      </c>
      <c r="C59" s="6" t="s">
        <v>26</v>
      </c>
      <c r="D59" s="11" t="s">
        <v>385</v>
      </c>
      <c r="E59" s="11" t="s">
        <v>386</v>
      </c>
      <c r="F59" s="11" t="s">
        <v>387</v>
      </c>
      <c r="G59" s="11" t="s">
        <v>48</v>
      </c>
      <c r="H59" s="10" t="s">
        <v>73</v>
      </c>
      <c r="I59" s="10" t="s">
        <v>74</v>
      </c>
      <c r="J59" s="11" t="s">
        <v>6</v>
      </c>
      <c r="K59" s="11" t="s">
        <v>75</v>
      </c>
      <c r="L59" s="11" t="s">
        <v>388</v>
      </c>
      <c r="M59" s="10" t="s">
        <v>199</v>
      </c>
      <c r="N59" s="10" t="s">
        <v>389</v>
      </c>
    </row>
    <row r="60" customFormat="false" ht="26.85" hidden="false" customHeight="false" outlineLevel="0" collapsed="false">
      <c r="A60" s="10" t="s">
        <v>390</v>
      </c>
      <c r="B60" s="10" t="s">
        <v>46</v>
      </c>
      <c r="C60" s="6" t="s">
        <v>26</v>
      </c>
      <c r="D60" s="11" t="s">
        <v>391</v>
      </c>
      <c r="E60" s="11" t="s">
        <v>392</v>
      </c>
      <c r="F60" s="11" t="s">
        <v>393</v>
      </c>
      <c r="G60" s="11" t="s">
        <v>48</v>
      </c>
      <c r="H60" s="10" t="s">
        <v>84</v>
      </c>
      <c r="I60" s="10" t="s">
        <v>74</v>
      </c>
      <c r="J60" s="11" t="s">
        <v>6</v>
      </c>
      <c r="K60" s="11" t="s">
        <v>115</v>
      </c>
      <c r="L60" s="11" t="s">
        <v>388</v>
      </c>
      <c r="M60" s="10" t="s">
        <v>199</v>
      </c>
      <c r="N60" s="10" t="s">
        <v>394</v>
      </c>
    </row>
    <row r="61" customFormat="false" ht="26.85" hidden="false" customHeight="false" outlineLevel="0" collapsed="false">
      <c r="A61" s="10" t="s">
        <v>395</v>
      </c>
      <c r="B61" s="10" t="s">
        <v>46</v>
      </c>
      <c r="C61" s="6" t="s">
        <v>26</v>
      </c>
      <c r="D61" s="11" t="s">
        <v>396</v>
      </c>
      <c r="E61" s="11" t="s">
        <v>397</v>
      </c>
      <c r="F61" s="11" t="s">
        <v>398</v>
      </c>
      <c r="G61" s="11" t="s">
        <v>48</v>
      </c>
      <c r="H61" s="10" t="s">
        <v>73</v>
      </c>
      <c r="I61" s="10"/>
      <c r="J61" s="11" t="s">
        <v>6</v>
      </c>
      <c r="K61" s="11" t="s">
        <v>239</v>
      </c>
      <c r="L61" s="11" t="s">
        <v>192</v>
      </c>
      <c r="M61" s="10" t="s">
        <v>199</v>
      </c>
      <c r="N61" s="10" t="s">
        <v>399</v>
      </c>
    </row>
    <row r="62" customFormat="false" ht="26.85" hidden="false" customHeight="false" outlineLevel="0" collapsed="false">
      <c r="A62" s="10" t="s">
        <v>400</v>
      </c>
      <c r="B62" s="10" t="s">
        <v>46</v>
      </c>
      <c r="C62" s="6" t="s">
        <v>26</v>
      </c>
      <c r="D62" s="11" t="s">
        <v>401</v>
      </c>
      <c r="E62" s="11" t="s">
        <v>402</v>
      </c>
      <c r="F62" s="11" t="s">
        <v>403</v>
      </c>
      <c r="G62" s="11" t="s">
        <v>48</v>
      </c>
      <c r="H62" s="10" t="s">
        <v>73</v>
      </c>
      <c r="I62" s="10"/>
      <c r="J62" s="11" t="s">
        <v>6</v>
      </c>
      <c r="K62" s="11" t="s">
        <v>239</v>
      </c>
      <c r="L62" s="11" t="s">
        <v>186</v>
      </c>
      <c r="M62" s="10" t="s">
        <v>117</v>
      </c>
      <c r="N62" s="10" t="s">
        <v>404</v>
      </c>
    </row>
    <row r="63" customFormat="false" ht="26.85" hidden="false" customHeight="false" outlineLevel="0" collapsed="false">
      <c r="A63" s="2" t="s">
        <v>405</v>
      </c>
      <c r="B63" s="2" t="s">
        <v>46</v>
      </c>
      <c r="C63" s="6" t="s">
        <v>26</v>
      </c>
      <c r="D63" s="4" t="s">
        <v>406</v>
      </c>
      <c r="E63" s="4" t="s">
        <v>407</v>
      </c>
      <c r="F63" s="4" t="s">
        <v>408</v>
      </c>
      <c r="G63" s="4" t="s">
        <v>48</v>
      </c>
      <c r="H63" s="2" t="s">
        <v>73</v>
      </c>
      <c r="I63" s="2"/>
      <c r="J63" s="4" t="s">
        <v>7</v>
      </c>
      <c r="K63" s="2"/>
      <c r="L63" s="2"/>
      <c r="M63" s="2"/>
      <c r="N63" s="2"/>
    </row>
    <row r="64" customFormat="false" ht="26.85" hidden="false" customHeight="false" outlineLevel="0" collapsed="false">
      <c r="A64" s="10" t="s">
        <v>409</v>
      </c>
      <c r="B64" s="10" t="s">
        <v>46</v>
      </c>
      <c r="C64" s="6" t="s">
        <v>26</v>
      </c>
      <c r="D64" s="11" t="s">
        <v>410</v>
      </c>
      <c r="E64" s="11" t="s">
        <v>411</v>
      </c>
      <c r="F64" s="11" t="s">
        <v>412</v>
      </c>
      <c r="G64" s="11" t="s">
        <v>48</v>
      </c>
      <c r="H64" s="10" t="s">
        <v>73</v>
      </c>
      <c r="I64" s="10"/>
      <c r="J64" s="11" t="s">
        <v>6</v>
      </c>
      <c r="K64" s="11" t="s">
        <v>239</v>
      </c>
      <c r="L64" s="11" t="s">
        <v>413</v>
      </c>
      <c r="M64" s="10" t="s">
        <v>175</v>
      </c>
      <c r="N64" s="10" t="s">
        <v>414</v>
      </c>
    </row>
    <row r="65" customFormat="false" ht="26.85" hidden="false" customHeight="false" outlineLevel="0" collapsed="false">
      <c r="A65" s="10" t="s">
        <v>415</v>
      </c>
      <c r="B65" s="10" t="s">
        <v>46</v>
      </c>
      <c r="C65" s="6" t="s">
        <v>26</v>
      </c>
      <c r="D65" s="11" t="s">
        <v>416</v>
      </c>
      <c r="E65" s="10" t="s">
        <v>417</v>
      </c>
      <c r="F65" s="11" t="s">
        <v>418</v>
      </c>
      <c r="G65" s="11" t="s">
        <v>48</v>
      </c>
      <c r="H65" s="10" t="s">
        <v>73</v>
      </c>
      <c r="I65" s="10"/>
      <c r="J65" s="11" t="s">
        <v>6</v>
      </c>
      <c r="K65" s="11" t="s">
        <v>239</v>
      </c>
      <c r="L65" s="11" t="s">
        <v>192</v>
      </c>
      <c r="M65" s="10" t="s">
        <v>98</v>
      </c>
      <c r="N65" s="10" t="s">
        <v>419</v>
      </c>
    </row>
    <row r="66" customFormat="false" ht="26.85" hidden="false" customHeight="false" outlineLevel="0" collapsed="false">
      <c r="A66" s="10" t="s">
        <v>420</v>
      </c>
      <c r="B66" s="10" t="s">
        <v>46</v>
      </c>
      <c r="C66" s="6" t="s">
        <v>26</v>
      </c>
      <c r="D66" s="11" t="s">
        <v>421</v>
      </c>
      <c r="E66" s="11" t="s">
        <v>422</v>
      </c>
      <c r="F66" s="11" t="s">
        <v>423</v>
      </c>
      <c r="G66" s="11" t="s">
        <v>48</v>
      </c>
      <c r="H66" s="10" t="s">
        <v>73</v>
      </c>
      <c r="I66" s="10"/>
      <c r="J66" s="11" t="s">
        <v>6</v>
      </c>
      <c r="K66" s="11" t="s">
        <v>239</v>
      </c>
      <c r="L66" s="11" t="s">
        <v>388</v>
      </c>
      <c r="M66" s="10" t="s">
        <v>199</v>
      </c>
      <c r="N66" s="10" t="s">
        <v>424</v>
      </c>
    </row>
    <row r="67" customFormat="false" ht="26.85" hidden="false" customHeight="false" outlineLevel="0" collapsed="false">
      <c r="A67" s="10" t="s">
        <v>425</v>
      </c>
      <c r="B67" s="10" t="s">
        <v>50</v>
      </c>
      <c r="C67" s="6" t="s">
        <v>26</v>
      </c>
      <c r="D67" s="11" t="s">
        <v>426</v>
      </c>
      <c r="E67" s="11" t="s">
        <v>427</v>
      </c>
      <c r="F67" s="11" t="s">
        <v>428</v>
      </c>
      <c r="G67" s="11" t="s">
        <v>429</v>
      </c>
      <c r="H67" s="10" t="s">
        <v>84</v>
      </c>
      <c r="I67" s="10" t="s">
        <v>74</v>
      </c>
      <c r="J67" s="11" t="s">
        <v>6</v>
      </c>
      <c r="K67" s="11" t="s">
        <v>115</v>
      </c>
      <c r="L67" s="11" t="s">
        <v>413</v>
      </c>
      <c r="M67" s="10" t="s">
        <v>175</v>
      </c>
      <c r="N67" s="10" t="s">
        <v>430</v>
      </c>
    </row>
    <row r="68" customFormat="false" ht="26.85" hidden="false" customHeight="false" outlineLevel="0" collapsed="false">
      <c r="A68" s="10" t="s">
        <v>431</v>
      </c>
      <c r="B68" s="10" t="s">
        <v>50</v>
      </c>
      <c r="C68" s="6" t="s">
        <v>26</v>
      </c>
      <c r="D68" s="11" t="s">
        <v>432</v>
      </c>
      <c r="E68" s="11" t="s">
        <v>433</v>
      </c>
      <c r="F68" s="11" t="s">
        <v>434</v>
      </c>
      <c r="G68" s="11" t="s">
        <v>83</v>
      </c>
      <c r="H68" s="10" t="s">
        <v>73</v>
      </c>
      <c r="I68" s="10" t="s">
        <v>74</v>
      </c>
      <c r="J68" s="11" t="s">
        <v>6</v>
      </c>
      <c r="K68" s="11" t="s">
        <v>115</v>
      </c>
      <c r="L68" s="11" t="s">
        <v>123</v>
      </c>
      <c r="M68" s="10" t="s">
        <v>77</v>
      </c>
      <c r="N68" s="10" t="s">
        <v>435</v>
      </c>
    </row>
    <row r="69" customFormat="false" ht="26.85" hidden="false" customHeight="false" outlineLevel="0" collapsed="false">
      <c r="A69" s="10" t="s">
        <v>436</v>
      </c>
      <c r="B69" s="10" t="s">
        <v>50</v>
      </c>
      <c r="C69" s="6" t="s">
        <v>26</v>
      </c>
      <c r="D69" s="11" t="s">
        <v>437</v>
      </c>
      <c r="E69" s="11" t="s">
        <v>438</v>
      </c>
      <c r="F69" s="11" t="s">
        <v>439</v>
      </c>
      <c r="G69" s="11" t="s">
        <v>440</v>
      </c>
      <c r="H69" s="10" t="s">
        <v>84</v>
      </c>
      <c r="I69" s="10"/>
      <c r="J69" s="11" t="s">
        <v>6</v>
      </c>
      <c r="K69" s="11" t="s">
        <v>168</v>
      </c>
      <c r="L69" s="11" t="s">
        <v>156</v>
      </c>
      <c r="M69" s="10" t="s">
        <v>117</v>
      </c>
      <c r="N69" s="10" t="s">
        <v>441</v>
      </c>
    </row>
    <row r="70" customFormat="false" ht="26.85" hidden="false" customHeight="false" outlineLevel="0" collapsed="false">
      <c r="A70" s="10" t="s">
        <v>442</v>
      </c>
      <c r="B70" s="10" t="s">
        <v>50</v>
      </c>
      <c r="C70" s="6" t="s">
        <v>26</v>
      </c>
      <c r="D70" s="11" t="s">
        <v>443</v>
      </c>
      <c r="E70" s="11" t="s">
        <v>444</v>
      </c>
      <c r="F70" s="11" t="s">
        <v>443</v>
      </c>
      <c r="G70" s="11" t="s">
        <v>429</v>
      </c>
      <c r="H70" s="10" t="s">
        <v>84</v>
      </c>
      <c r="I70" s="10"/>
      <c r="J70" s="11" t="s">
        <v>6</v>
      </c>
      <c r="K70" s="11" t="s">
        <v>96</v>
      </c>
      <c r="L70" s="11" t="s">
        <v>162</v>
      </c>
      <c r="M70" s="10" t="s">
        <v>199</v>
      </c>
      <c r="N70" s="10" t="s">
        <v>445</v>
      </c>
    </row>
  </sheetData>
  <autoFilter ref="A1:N7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0"/>
  </cols>
  <sheetData>
    <row r="1" customFormat="false" ht="26.85" hidden="false" customHeight="false" outlineLevel="0" collapsed="false">
      <c r="A1" s="12" t="s">
        <v>446</v>
      </c>
      <c r="B1" s="13" t="s">
        <v>447</v>
      </c>
    </row>
    <row r="2" customFormat="false" ht="26.85" hidden="false" customHeight="false" outlineLevel="0" collapsed="false">
      <c r="A2" s="12" t="s">
        <v>1</v>
      </c>
      <c r="B2" s="13" t="s">
        <v>448</v>
      </c>
    </row>
    <row r="3" customFormat="false" ht="26.85" hidden="false" customHeight="false" outlineLevel="0" collapsed="false">
      <c r="A3" s="12" t="s">
        <v>61</v>
      </c>
      <c r="B3" s="14" t="s">
        <v>449</v>
      </c>
    </row>
    <row r="4" customFormat="false" ht="15" hidden="false" customHeight="false" outlineLevel="0" collapsed="false">
      <c r="A4" s="12" t="s">
        <v>62</v>
      </c>
      <c r="B4" s="13" t="s">
        <v>450</v>
      </c>
    </row>
    <row r="5" customFormat="false" ht="26.85" hidden="false" customHeight="false" outlineLevel="0" collapsed="false">
      <c r="A5" s="12" t="s">
        <v>63</v>
      </c>
      <c r="B5" s="13" t="s">
        <v>451</v>
      </c>
    </row>
    <row r="6" customFormat="false" ht="15" hidden="false" customHeight="false" outlineLevel="0" collapsed="false">
      <c r="A6" s="12" t="s">
        <v>452</v>
      </c>
      <c r="B6" s="14" t="s">
        <v>453</v>
      </c>
    </row>
    <row r="7" customFormat="false" ht="26.85" hidden="false" customHeight="false" outlineLevel="0" collapsed="false">
      <c r="A7" s="12" t="s">
        <v>454</v>
      </c>
      <c r="B7" s="13" t="s">
        <v>455</v>
      </c>
    </row>
    <row r="8" customFormat="false" ht="26.85" hidden="false" customHeight="false" outlineLevel="0" collapsed="false">
      <c r="A8" s="12" t="s">
        <v>456</v>
      </c>
      <c r="B8" s="14" t="s">
        <v>457</v>
      </c>
    </row>
    <row r="9" customFormat="false" ht="15" hidden="false" customHeight="false" outlineLevel="0" collapsed="false">
      <c r="A9" s="12" t="s">
        <v>458</v>
      </c>
      <c r="B9" s="14" t="s">
        <v>459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2026-10-27T04:06:10Z</dcterms:created>
  <dc:creator>openpyxl</dc:creator>
  <dc:description/>
  <dc:language>en-US</dc:language>
  <cp:lastModifiedBy/>
  <dcterms:modified xsi:type="dcterms:W3CDTF">2026-10-27T04:06:10Z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